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vier Mora\OneDrive\PSIARTEC\Plataforma REC]\- Ampliación 2020 -\- Trabajo -\"/>
    </mc:Choice>
  </mc:AlternateContent>
  <xr:revisionPtr revIDLastSave="0" documentId="13_ncr:1_{F3E5769A-11D4-48EE-9DB1-7754DF3283E6}" xr6:coauthVersionLast="46" xr6:coauthVersionMax="46" xr10:uidLastSave="{00000000-0000-0000-0000-000000000000}"/>
  <bookViews>
    <workbookView xWindow="-120" yWindow="-120" windowWidth="29040" windowHeight="16440" tabRatio="836" xr2:uid="{00000000-000D-0000-FFFF-FFFF00000000}"/>
  </bookViews>
  <sheets>
    <sheet name="Cuentas" sheetId="3" r:id="rId1"/>
    <sheet name="RatiosE" sheetId="26" r:id="rId2"/>
    <sheet name="plantilla" sheetId="27" state="veryHidden" r:id="rId3"/>
  </sheets>
  <functionGroups builtInGroupCount="19"/>
  <definedNames>
    <definedName name="_xlnm._FilterDatabase" localSheetId="0" hidden="1">Cuentas!$C$5:$C$5</definedName>
    <definedName name="_xlnm.Print_Area" localSheetId="0">Cuentas!$A$1:$C$107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26" l="1"/>
  <c r="B14" i="26" l="1"/>
  <c r="B48" i="26"/>
  <c r="C13" i="3"/>
  <c r="B46" i="26" l="1"/>
  <c r="B45" i="26"/>
  <c r="B44" i="26"/>
  <c r="B23" i="26"/>
  <c r="B19" i="26"/>
  <c r="B38" i="26" l="1"/>
  <c r="B43" i="26"/>
  <c r="B41" i="26"/>
  <c r="B17" i="26"/>
  <c r="B9" i="26" l="1"/>
  <c r="B16" i="26" l="1"/>
  <c r="B28" i="26" l="1"/>
  <c r="B12" i="26"/>
  <c r="B35" i="26"/>
  <c r="B40" i="26" l="1"/>
  <c r="B39" i="26"/>
  <c r="B36" i="26"/>
  <c r="B33" i="26"/>
  <c r="B32" i="26" l="1"/>
  <c r="B30" i="26"/>
  <c r="B29" i="26"/>
  <c r="B27" i="26"/>
  <c r="B25" i="26"/>
  <c r="B22" i="26"/>
  <c r="B21" i="26"/>
  <c r="B20" i="26"/>
  <c r="B18" i="26"/>
  <c r="B11" i="26"/>
  <c r="B10" i="26"/>
  <c r="B7" i="2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0090000046004242597__0" type="4" refreshedVersion="0" background="1" saveData="1">
    <webPr xml="1" sourceData="1" url="C:\Documents and Settings\XBRLES\Escritorio\Informes modelo abreviado\2009000004592049474___0.xml" htmlTables="1" htmlFormat="all"/>
  </connection>
</connections>
</file>

<file path=xl/sharedStrings.xml><?xml version="1.0" encoding="utf-8"?>
<sst xmlns="http://schemas.openxmlformats.org/spreadsheetml/2006/main" count="148" uniqueCount="145">
  <si>
    <t>2. Variación de existencias de PPTT y en curso de fabricación</t>
  </si>
  <si>
    <t>3. Trabajos realizados por la empresa para su activo</t>
  </si>
  <si>
    <t>4. Aprovisionamientos</t>
  </si>
  <si>
    <t>5. Otros ingresos de explotación</t>
  </si>
  <si>
    <t>6. Gastos de personal</t>
  </si>
  <si>
    <t>7. Otros gastos de explotación</t>
  </si>
  <si>
    <t>8. Amortización del inmovilizado</t>
  </si>
  <si>
    <t>9. Imputación de subvenciones de inmovilizados no fin. y otras</t>
  </si>
  <si>
    <t>10. Exceso de provisiones</t>
  </si>
  <si>
    <t>11. Deterioro y resultado por enajenaciones inmovilizado</t>
  </si>
  <si>
    <t>12. Diferencia negativa de combinaciones de negocio</t>
  </si>
  <si>
    <t>13. Otros Resultados</t>
  </si>
  <si>
    <t>A) RESULTADO DE EXPLOTACIÓN (1+2+3+4+5+6+7+8+9+10+11+12+13)</t>
  </si>
  <si>
    <t>14. Ingresos financieros</t>
  </si>
  <si>
    <t>a) Imputación sub., dona., y legados de carácter financiero</t>
  </si>
  <si>
    <t>b) Otros ingresos financieros</t>
  </si>
  <si>
    <t>15. Gastos financieros</t>
  </si>
  <si>
    <t>16. Variación de valor razonable en instrumentos financieros</t>
  </si>
  <si>
    <t>17. Diferencias de cambio</t>
  </si>
  <si>
    <t>18. Deterioro y resultado por enajenaciones de instrumentos financieros</t>
  </si>
  <si>
    <t>B) RESULTADO FINANCIERO (14+15+16+17+18)</t>
  </si>
  <si>
    <t>C) RESULTADO ANTES DE IMPUESTOS (A+B)</t>
  </si>
  <si>
    <t>D) RESULTADO DEL EJERCICIO (C+19)</t>
  </si>
  <si>
    <t>ACTIVO</t>
  </si>
  <si>
    <t>PÉRDIDAS Y GANANCIAS</t>
  </si>
  <si>
    <t>PATRIMONIO NETO Y PASIVO</t>
  </si>
  <si>
    <t>Personal medio FIJO</t>
  </si>
  <si>
    <t>Personal medio NO FIJO</t>
  </si>
  <si>
    <t>Código Postal</t>
  </si>
  <si>
    <t>Fecha de Cierre</t>
  </si>
  <si>
    <t>CNAE</t>
  </si>
  <si>
    <t>Actividad Principal</t>
  </si>
  <si>
    <t>Unidades</t>
  </si>
  <si>
    <t>Fecha de Inicio</t>
  </si>
  <si>
    <t>A) ACTIVO NO CORRIENTE</t>
  </si>
  <si>
    <t>I. Inmovilizado intangible</t>
  </si>
  <si>
    <t>II. Inmovilizado material</t>
  </si>
  <si>
    <t>III. Inversiones Inmobiliarias</t>
  </si>
  <si>
    <t>IV. Inversiones en empresas del grupo y asociadas a largo plazo</t>
  </si>
  <si>
    <t>V. Inversiones financieras a largo plazo</t>
  </si>
  <si>
    <t>VI. Activos por impuesto diferido</t>
  </si>
  <si>
    <t>VII. Deudores comerciales no corrientes</t>
  </si>
  <si>
    <t>B) ACTIVO CORRIENTE</t>
  </si>
  <si>
    <t>I. Activos no corrientes mantenidos para la venta</t>
  </si>
  <si>
    <t>II. Existencias</t>
  </si>
  <si>
    <t>III. Deudores comerciales y otras cuentas a cobrar</t>
  </si>
  <si>
    <t>1. Clientes por ventas y prestaciones de servicios</t>
  </si>
  <si>
    <t>a) a largo plazo</t>
  </si>
  <si>
    <t>b) a corto plazo</t>
  </si>
  <si>
    <t>2. Accionistas (socios) por desembolsos exigidos</t>
  </si>
  <si>
    <t>3. Otros deudores</t>
  </si>
  <si>
    <t>IV. Inversiones en empresas del grupo y asociadas a corto plazo</t>
  </si>
  <si>
    <t>V. Inversiones financieras a corto plazo</t>
  </si>
  <si>
    <t>VI. Periodificaciones a corto plazo</t>
  </si>
  <si>
    <t>VII. Efectivo y otros activos líquidos equivalentes</t>
  </si>
  <si>
    <t>TOTAL ACTIVO (A+B)</t>
  </si>
  <si>
    <t>A) PATRIMONIO NETO</t>
  </si>
  <si>
    <t>A-1) Fondos Propios</t>
  </si>
  <si>
    <t>I. Capital</t>
  </si>
  <si>
    <t>1. Capital escriturado</t>
  </si>
  <si>
    <t>2. (Capital no exigido)</t>
  </si>
  <si>
    <t>II. Prima de emisión</t>
  </si>
  <si>
    <t>III. Reservas</t>
  </si>
  <si>
    <t>IV. (Acciones y participaciones en patrimonio propias)</t>
  </si>
  <si>
    <t>V. Resultados de ejercicios anteriores</t>
  </si>
  <si>
    <t>VI. Otras aportaciones de socios</t>
  </si>
  <si>
    <t>VII. Resultado del ejercicio</t>
  </si>
  <si>
    <t>VIII. (Dividendo a cuenta)</t>
  </si>
  <si>
    <t>IX. Otros instrumentos de patrimonio neto</t>
  </si>
  <si>
    <t>A-2) Ajustes en patrimonio neto</t>
  </si>
  <si>
    <t>A-3) Subvenciones, donaciones y legados recibidos</t>
  </si>
  <si>
    <t>B) PASIVO NO CORRIENTE</t>
  </si>
  <si>
    <t>I. Provisiones a largo plazo</t>
  </si>
  <si>
    <t>II. Deudas a largo plazo</t>
  </si>
  <si>
    <t>1. Deudas con entidades de crédito</t>
  </si>
  <si>
    <t>2. Acreedores por arrendamiento financiero</t>
  </si>
  <si>
    <t>3. Otras deudas a largo plazo</t>
  </si>
  <si>
    <t>III. Deudas con empresas del grupo y asociadas a largo plazo</t>
  </si>
  <si>
    <t>IV. Pasivos por impuesto diferido</t>
  </si>
  <si>
    <t>V. Periodificaciones a largo plazo</t>
  </si>
  <si>
    <t>VI Acreedores comerciales no corrientes</t>
  </si>
  <si>
    <t>VII. Deudas con características especiales a largo plazo</t>
  </si>
  <si>
    <t>C) PASIVO CORRIENTE</t>
  </si>
  <si>
    <t>I. Pasivos vinculados con activos no corrientes mantenidos para la venta</t>
  </si>
  <si>
    <t>II. Provisiones a corto plazo</t>
  </si>
  <si>
    <t>III. Deudas a corto plazo</t>
  </si>
  <si>
    <t>3. Otras deudas a corto plazo</t>
  </si>
  <si>
    <t>IV. Deudas con empresas del grupo y asociadas a corto plazo</t>
  </si>
  <si>
    <t>V. Acreedores comerciales y otras cuentas a pagar</t>
  </si>
  <si>
    <t>1. Proveedores</t>
  </si>
  <si>
    <t>a) Proveedores a largo plazo</t>
  </si>
  <si>
    <t>b) Proveedores a corto plazo</t>
  </si>
  <si>
    <t>2. Otros acreedores</t>
  </si>
  <si>
    <t>VII. Deudas con características especiales a corto plazo</t>
  </si>
  <si>
    <t>TOTAL PATRIMONIO NETO Y PASIVO (A+B+C)</t>
  </si>
  <si>
    <t>1. Importe neto de la cifra de negocios</t>
  </si>
  <si>
    <t>Tipo de Formulario</t>
  </si>
  <si>
    <t>Activo corriente / Deudas a corto plazo</t>
  </si>
  <si>
    <t>(Realizable + Disponible) / Deudas a corto plazo</t>
  </si>
  <si>
    <t>(Realizable + Disponible) / Total activo</t>
  </si>
  <si>
    <t xml:space="preserve">(Activo corriente - Deudas a corto plazo) / Total activo </t>
  </si>
  <si>
    <t>(Activo corriente - Deudas a corto plazo) / Cifra neta de negocios</t>
  </si>
  <si>
    <t>Deudas totales / Total activo</t>
  </si>
  <si>
    <t>Deudas a corto plazo / Deudas totales</t>
  </si>
  <si>
    <t xml:space="preserve">Capacidad devolución préstamos (Resultado económico bruto / Deuda neta total) </t>
  </si>
  <si>
    <t>Cobertura de gastos financieros (Gastos financieros y asimilados / Resultado económico bruto)</t>
  </si>
  <si>
    <t xml:space="preserve">Coste de la deuda (Gastos financieros y asimilados / Deuda neta total) </t>
  </si>
  <si>
    <t xml:space="preserve">Rotación del activo (Cifra neta de negocios / Total activo) </t>
  </si>
  <si>
    <t xml:space="preserve">Rotación del activo no corriente (Cifra neta de negocios / Activo no corriente) </t>
  </si>
  <si>
    <t xml:space="preserve">Rotación del activo corriente (Cifra neta de negocios / Activo corriente) </t>
  </si>
  <si>
    <t xml:space="preserve">Rotación de stocks (Cifra neta de negocios / Existencias) </t>
  </si>
  <si>
    <t xml:space="preserve">Cobro ((Deudores comerciales / Cifra neta de negocios)x365) </t>
  </si>
  <si>
    <t xml:space="preserve">Financiación de clientes por acreedores comerciales (Acreedores comerciales / Deudores comerciales) </t>
  </si>
  <si>
    <t>VAB / Cifra neta de negocios</t>
  </si>
  <si>
    <t>Resultado económico neto / Cifra neta de negocios</t>
  </si>
  <si>
    <t xml:space="preserve">Rentabilidad económica (Resultado económico neto / Total activo) </t>
  </si>
  <si>
    <t xml:space="preserve">Rentabilidad financiera (Resultado del ejercicio / Total Patrimonio Neto) </t>
  </si>
  <si>
    <t>Resultado económico bruto / Total Activo</t>
  </si>
  <si>
    <t>Resultado económico bruto / Cifra neta de negocios</t>
  </si>
  <si>
    <t>T1. Tasa de variación de la cifra neta de negocios</t>
  </si>
  <si>
    <t>RATIOS</t>
  </si>
  <si>
    <t>DATOS DE IDENTIFICACIÓN</t>
  </si>
  <si>
    <t>VALOR</t>
  </si>
  <si>
    <t>LIQUIDEZ</t>
  </si>
  <si>
    <t>CIFRA DE NEGOCIOS</t>
  </si>
  <si>
    <t>RENTABILIDAD Y AUTOFINANCIACIÓN</t>
  </si>
  <si>
    <t>MARGEN</t>
  </si>
  <si>
    <t>PLAZOS</t>
  </si>
  <si>
    <t>GESTIÓN DE ACTIVOS</t>
  </si>
  <si>
    <t>SOLVENCIA</t>
  </si>
  <si>
    <t>ENDEUDAMIENTO</t>
  </si>
  <si>
    <t>Capital circulante comercial / Cifra neta de negocios</t>
  </si>
  <si>
    <t>Deudas con entidades de crédito / Deudas totales</t>
  </si>
  <si>
    <t>Provisiones para riesgos y gastos / Total  patrimonio neto y pasivo</t>
  </si>
  <si>
    <t>Deudas con entidades de crédito / Total patrimonio neto y pasivo</t>
  </si>
  <si>
    <t>Gastos de personal / Cifra neta de negocios</t>
  </si>
  <si>
    <t>Resultado económico bruto / Gastos de personal</t>
  </si>
  <si>
    <t>Resultado económico neto / Gastos de personal</t>
  </si>
  <si>
    <t>Valor Añadido / Gastos de personal</t>
  </si>
  <si>
    <t>PERSONAL</t>
  </si>
  <si>
    <t>0. Importe neto de la cifra de negocios (ejercicio anterior)</t>
  </si>
  <si>
    <t>20. Impuesto sobre beneficios</t>
  </si>
  <si>
    <t>19. Otros ingresos y gastos de carácter financiero</t>
  </si>
  <si>
    <t>Patrimonio Neto / Total patrimonio neto y pasivo</t>
  </si>
  <si>
    <t>2101_OC_Plantilla_Visualizador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</si>
</sst>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6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16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"/>
      <color theme="0"/>
      <name val="Calibri"/>
      <family val="2"/>
    </font>
    <font>
      <b/>
      <sz val="12"/>
      <color theme="0"/>
      <name val="Calibri"/>
      <family val="2"/>
    </font>
    <font>
      <sz val="10"/>
      <color rgb="FFE52B37"/>
      <name val="Calibri"/>
      <family val="2"/>
      <scheme val="minor"/>
    </font>
    <font>
      <b/>
      <sz val="9"/>
      <color rgb="FFE52B37"/>
      <name val="Calibri"/>
      <family val="2"/>
      <scheme val="minor"/>
    </font>
    <font>
      <sz val="10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indexed="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2B37"/>
        <bgColor indexed="64"/>
      </patternFill>
    </fill>
    <fill>
      <patternFill patternType="solid">
        <fgColor rgb="FF7F7F7F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3" fillId="3" borderId="0" applyNumberFormat="0" applyBorder="0" applyAlignment="0" applyProtection="0"/>
    <xf numFmtId="0" fontId="4" fillId="4" borderId="2" applyNumberFormat="0" applyAlignment="0" applyProtection="0"/>
    <xf numFmtId="0" fontId="5" fillId="0" borderId="3" applyNumberFormat="0" applyFill="0" applyAlignment="0" applyProtection="0"/>
    <xf numFmtId="0" fontId="2" fillId="0" borderId="0" applyNumberFormat="0" applyFill="0" applyBorder="0" applyAlignment="0" applyProtection="0"/>
    <xf numFmtId="0" fontId="6" fillId="5" borderId="4" applyNumberFormat="0" applyAlignment="0" applyProtection="0"/>
    <xf numFmtId="0" fontId="7" fillId="6" borderId="0" applyNumberFormat="0" applyBorder="0" applyAlignment="0" applyProtection="0"/>
    <xf numFmtId="0" fontId="1" fillId="7" borderId="5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31" fillId="0" borderId="0"/>
    <xf numFmtId="44" fontId="3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vertical="center"/>
    </xf>
    <xf numFmtId="2" fontId="13" fillId="2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left" vertical="center" indent="2"/>
    </xf>
    <xf numFmtId="0" fontId="14" fillId="2" borderId="0" xfId="0" applyFont="1" applyFill="1" applyAlignment="1">
      <alignment horizontal="left" vertical="center" indent="3"/>
    </xf>
    <xf numFmtId="0" fontId="11" fillId="2" borderId="0" xfId="0" applyFont="1" applyFill="1" applyAlignment="1">
      <alignment horizontal="left" vertical="center" wrapText="1" indent="1"/>
    </xf>
    <xf numFmtId="4" fontId="16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left" vertical="center" indent="2"/>
    </xf>
    <xf numFmtId="0" fontId="17" fillId="0" borderId="0" xfId="0" applyFont="1" applyAlignment="1">
      <alignment vertical="center"/>
    </xf>
    <xf numFmtId="0" fontId="11" fillId="9" borderId="0" xfId="0" applyFont="1" applyFill="1" applyAlignment="1">
      <alignment vertical="center"/>
    </xf>
    <xf numFmtId="0" fontId="11" fillId="9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19" fillId="0" borderId="0" xfId="0" applyFont="1" applyAlignment="1">
      <alignment horizontal="left" vertical="center" indent="2"/>
    </xf>
    <xf numFmtId="0" fontId="12" fillId="8" borderId="0" xfId="0" applyFont="1" applyFill="1" applyAlignment="1">
      <alignment horizontal="left" vertical="center" indent="37"/>
    </xf>
    <xf numFmtId="0" fontId="12" fillId="2" borderId="0" xfId="0" applyFont="1" applyFill="1" applyAlignment="1">
      <alignment horizontal="left" vertical="center" indent="37"/>
    </xf>
    <xf numFmtId="0" fontId="10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left" indent="37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/>
    </xf>
    <xf numFmtId="0" fontId="17" fillId="0" borderId="0" xfId="0" applyFont="1" applyAlignment="1">
      <alignment horizontal="center" vertical="center"/>
    </xf>
    <xf numFmtId="0" fontId="26" fillId="2" borderId="0" xfId="0" applyFont="1" applyFill="1" applyAlignment="1">
      <alignment horizontal="left" vertical="center" indent="37"/>
    </xf>
    <xf numFmtId="0" fontId="27" fillId="2" borderId="0" xfId="0" applyFont="1" applyFill="1" applyAlignment="1">
      <alignment horizontal="center" vertical="center"/>
    </xf>
    <xf numFmtId="0" fontId="28" fillId="8" borderId="0" xfId="0" applyFont="1" applyFill="1" applyAlignment="1">
      <alignment horizontal="left" indent="37"/>
    </xf>
    <xf numFmtId="0" fontId="29" fillId="8" borderId="0" xfId="0" applyFont="1" applyFill="1" applyAlignment="1">
      <alignment horizontal="center"/>
    </xf>
    <xf numFmtId="0" fontId="28" fillId="8" borderId="0" xfId="0" applyFont="1" applyFill="1" applyAlignment="1">
      <alignment horizontal="left" vertical="center" indent="37"/>
    </xf>
    <xf numFmtId="0" fontId="29" fillId="8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 indent="37"/>
    </xf>
    <xf numFmtId="0" fontId="23" fillId="10" borderId="0" xfId="0" applyFont="1" applyFill="1" applyAlignment="1">
      <alignment horizontal="center" vertical="center"/>
    </xf>
    <xf numFmtId="0" fontId="32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4" fontId="14" fillId="9" borderId="0" xfId="0" applyNumberFormat="1" applyFont="1" applyFill="1" applyAlignment="1" applyProtection="1">
      <alignment horizontal="center"/>
      <protection locked="0"/>
    </xf>
    <xf numFmtId="4" fontId="14" fillId="2" borderId="0" xfId="0" applyNumberFormat="1" applyFont="1" applyFill="1" applyAlignment="1" applyProtection="1">
      <alignment horizontal="center"/>
      <protection locked="0"/>
    </xf>
    <xf numFmtId="4" fontId="12" fillId="9" borderId="0" xfId="0" applyNumberFormat="1" applyFont="1" applyFill="1" applyAlignment="1" applyProtection="1">
      <alignment horizontal="center" vertical="center"/>
      <protection locked="0"/>
    </xf>
    <xf numFmtId="4" fontId="12" fillId="2" borderId="0" xfId="0" applyNumberFormat="1" applyFont="1" applyFill="1" applyAlignment="1" applyProtection="1">
      <alignment horizontal="center" vertical="center"/>
      <protection locked="0"/>
    </xf>
    <xf numFmtId="2" fontId="33" fillId="0" borderId="0" xfId="0" applyNumberFormat="1" applyFont="1" applyAlignment="1">
      <alignment horizontal="center" vertical="center"/>
    </xf>
    <xf numFmtId="2" fontId="33" fillId="0" borderId="0" xfId="0" quotePrefix="1" applyNumberFormat="1" applyFont="1" applyAlignment="1">
      <alignment horizontal="center" vertical="center"/>
    </xf>
    <xf numFmtId="49" fontId="27" fillId="2" borderId="0" xfId="0" applyNumberFormat="1" applyFont="1" applyFill="1" applyAlignment="1" applyProtection="1">
      <alignment horizontal="center"/>
      <protection locked="0"/>
    </xf>
    <xf numFmtId="164" fontId="14" fillId="9" borderId="0" xfId="11" applyNumberFormat="1" applyFont="1" applyFill="1" applyAlignment="1" applyProtection="1">
      <alignment horizontal="center"/>
      <protection locked="0"/>
    </xf>
    <xf numFmtId="164" fontId="14" fillId="2" borderId="0" xfId="11" applyNumberFormat="1" applyFont="1" applyFill="1" applyAlignment="1" applyProtection="1">
      <alignment horizontal="center"/>
      <protection locked="0"/>
    </xf>
    <xf numFmtId="0" fontId="0" fillId="2" borderId="0" xfId="0" applyFill="1" applyProtection="1"/>
    <xf numFmtId="49" fontId="30" fillId="8" borderId="0" xfId="0" applyNumberFormat="1" applyFont="1" applyFill="1" applyAlignment="1" applyProtection="1">
      <alignment horizontal="center"/>
      <protection locked="0"/>
    </xf>
    <xf numFmtId="0" fontId="22" fillId="10" borderId="0" xfId="0" applyFont="1" applyFill="1" applyAlignment="1">
      <alignment horizontal="center" vertical="center"/>
    </xf>
    <xf numFmtId="49" fontId="29" fillId="8" borderId="0" xfId="0" applyNumberFormat="1" applyFont="1" applyFill="1" applyAlignment="1" applyProtection="1">
      <alignment horizontal="center"/>
      <protection locked="0"/>
    </xf>
    <xf numFmtId="49" fontId="29" fillId="8" borderId="0" xfId="0" applyNumberFormat="1" applyFont="1" applyFill="1" applyAlignment="1" applyProtection="1">
      <alignment horizontal="center" vertical="center"/>
      <protection locked="0"/>
    </xf>
    <xf numFmtId="0" fontId="30" fillId="8" borderId="0" xfId="0" applyFont="1" applyFill="1" applyAlignment="1" applyProtection="1">
      <alignment horizontal="center"/>
      <protection locked="0"/>
    </xf>
    <xf numFmtId="0" fontId="25" fillId="1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left" vertical="center" indent="2"/>
    </xf>
    <xf numFmtId="0" fontId="18" fillId="0" borderId="0" xfId="0" applyFont="1" applyFill="1" applyAlignment="1">
      <alignment horizontal="left" vertical="center" indent="2"/>
    </xf>
    <xf numFmtId="49" fontId="29" fillId="8" borderId="0" xfId="0" applyNumberFormat="1" applyFont="1" applyFill="1" applyAlignment="1" applyProtection="1">
      <protection locked="0"/>
    </xf>
    <xf numFmtId="0" fontId="36" fillId="11" borderId="0" xfId="0" applyFont="1" applyFill="1" applyAlignment="1" applyProtection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4" fillId="11" borderId="0" xfId="0" applyFont="1" applyFill="1" applyAlignment="1">
      <alignment horizontal="left" vertical="center" indent="1"/>
    </xf>
  </cellXfs>
  <cellStyles count="12">
    <cellStyle name="Buena" xfId="1" xr:uid="{00000000-0005-0000-0000-000000000000}"/>
    <cellStyle name="Celda de comprobación" xfId="2" xr:uid="{00000000-0005-0000-0000-000001000000}"/>
    <cellStyle name="Celda vinculada" xfId="3" xr:uid="{00000000-0005-0000-0000-000002000000}"/>
    <cellStyle name="Encabezado 4" xfId="4" xr:uid="{00000000-0005-0000-0000-000003000000}"/>
    <cellStyle name="Entrada" xfId="5" xr:uid="{00000000-0005-0000-0000-000004000000}"/>
    <cellStyle name="Moneda" xfId="11" builtinId="4"/>
    <cellStyle name="Neutral" xfId="6" builtinId="28" customBuiltin="1"/>
    <cellStyle name="Normal" xfId="0" builtinId="0"/>
    <cellStyle name="Normal 2" xfId="10" xr:uid="{00000000-0005-0000-0000-000008000000}"/>
    <cellStyle name="Notas" xfId="7" xr:uid="{00000000-0005-0000-0000-000009000000}"/>
    <cellStyle name="Texto de advertencia" xfId="8" xr:uid="{00000000-0005-0000-0000-00000A000000}"/>
    <cellStyle name="Total" xfId="9" builtinId="25" customBuiltin="1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7F7F7F"/>
      <color rgb="FFE52B37"/>
      <color rgb="FFCC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www.xbrl.org/2003/linkbase' xmlns:ns3='http://www.xbrl.org.es/es/2008/dgi/gp/lc-int/2008-01-30' xmlns:ns4='http://www.xbrl.org.es/es/2008/dgi/gp/lc-es/2008-01-30' xmlns:ns5='http://www.xbrl.org.es/es/2008/dgi/gp/lc-cnae-2009/2008-01-30' xmlns:ns6='http://www.xbrl.org.es/es/2008/dgi/gp/gen-ex/2008-01-30' xmlns:ns7='http://www.xbrl.org.es/es/2008/dgi/gp/est-gen/2008-01-30' xmlns:ns8='http://www.xbrl.org.es/es/2008/dgi/gp/eco-bas/2008-01-30' xmlns:ns9='http://www.xbrl.org.es/es/2008/dgi/gp/dat-inf/2008-01-30' xmlns:ns10='http://www.w3.org/1999/xlink' xmlns:ns11='http://www.icac.meh.es/es/fr/gaap/pgc07/memoria/comun/apartado0/IdentificacionGeneral/2009-01-01' xmlns:ns12='http://www.icac.meh.es/es/fr/gaap/pgc07/comun-normalabreviado/2009-01-01' xmlns:ns13='http://www.icac.meh.es/es/fr/gaap/pgc07/comun-base/2009-01-01' xmlns:ns14='http://www.icac.meh.es/es/fr/gaap/pgc07/comun-abreviadopymes/2009-01-01' xmlns:ns1='http://www.xbrl.org/2003/instance'">
  <Schema ID="Schema15" Namespace="http://www.xbrl.org/2003/linkbase">
    <xsd:schema xmlns:xsd="http://www.w3.org/2001/XMLSchema" xmlns:ns0="http://www.xbrl.org/2003/linkbase" xmlns:ns1="http://www.w3.org/1999/xlink" xmlns="" targetNamespace="http://www.xbrl.org/2003/linkbase">
      <xsd:import namespace="http://www.w3.org/1999/xlink"/>
      <xsd:element nillable="true" name="schemaRef">
        <xsd:complexType>
          <xsd:attribute ref="ns1:href"/>
          <xsd:attribute ref="ns1:type"/>
        </xsd:complexType>
      </xsd:element>
    </xsd:schema>
  </Schema>
  <Schema ID="Schema16" Namespace="http://www.xbrl.org.es/es/2008/dgi/gp/lc-int/2008-01-30">
    <xsd:schema xmlns:xsd="http://www.w3.org/2001/XMLSchema" xmlns:ns0="http://www.xbrl.org.es/es/2008/dgi/gp/lc-int/2008-01-30" xmlns="" targetNamespace="http://www.xbrl.org.es/es/2008/dgi/gp/lc-int/2008-01-30">
      <xsd:element nillable="true" name="Xcode_UN3155.TE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</xsd:schema>
  </Schema>
  <Schema ID="Schema17" Namespace="http://www.xbrl.org.es/es/2008/dgi/gp/lc-es/2008-01-30">
    <xsd:schema xmlns:xsd="http://www.w3.org/2001/XMLSchema" xmlns:ns0="http://www.xbrl.org.es/es/2008/dgi/gp/lc-es/2008-01-30" xmlns="" targetNamespace="http://www.xbrl.org.es/es/2008/dgi/gp/lc-es/2008-01-30">
      <xsd:element nillable="true" name="Xcode_IDC.NIF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Xcode_LFC.23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Xcode_NMT.DS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Xcode_ADL.01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Xcode_RCI.46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Xcode_COT.01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Xcode_PET.03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Xcode_PET.04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18" Namespace="http://www.xbrl.org.es/es/2008/dgi/gp/lc-cnae-2009/2008-01-30">
    <xsd:schema xmlns:xsd="http://www.w3.org/2001/XMLSchema" xmlns:ns0="http://www.xbrl.org.es/es/2008/dgi/gp/lc-cnae-2009/2008-01-30" xmlns="" targetNamespace="http://www.xbrl.org.es/es/2008/dgi/gp/lc-cnae-2009/2008-01-30">
      <xsd:element nillable="true" name="Xcode_ACC.CNAE.2572">
        <xsd:complexType>
          <xsd:attribute name="contextRef" form="unqualified" type="xsd:string"/>
        </xsd:complexType>
      </xsd:element>
    </xsd:schema>
  </Schema>
  <Schema ID="Schema19" Namespace="http://www.xbrl.org.es/es/2008/dgi/gp/gen-ex/2008-01-30">
    <xsd:schema xmlns:xsd="http://www.w3.org/2001/XMLSchema" xmlns:ns0="http://www.xbrl.org.es/es/2008/dgi/gp/gen-ex/2008-01-30" xmlns="" targetNamespace="http://www.xbrl.org.es/es/2008/dgi/gp/gen-ex/2008-01-30">
      <xsd:element nillable="true" name="OthersLegalForm">
        <xsd:complexType>
          <xsd:attribute name="contextRef" form="unqualified" type="xsd:string"/>
        </xsd:complexType>
      </xsd:element>
    </xsd:schema>
  </Schema>
  <Schema ID="Schema20" Namespace="http://www.xbrl.org.es/es/2008/dgi/gp/est-gen/2008-01-30">
    <xsd:schema xmlns:xsd="http://www.w3.org/2001/XMLSchema" xmlns:ns0="http://www.xbrl.org.es/es/2008/dgi/gp/est-gen/2008-01-30" xmlns="" targetNamespace="http://www.xbrl.org.es/es/2008/dgi/gp/est-gen/2008-01-30">
      <xsd:element nillable="true" name="IdentifierValue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LegalNameValue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AddressLine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MunicipalityName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ZipPostalCod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CommunicationValu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21" Namespace="http://www.xbrl.org.es/es/2008/dgi/gp/eco-bas/2008-01-30">
    <xsd:schema xmlns:xsd="http://www.w3.org/2001/XMLSchema" xmlns:ns0="http://www.xbrl.org.es/es/2008/dgi/gp/lc-cnae-2009/2008-01-30" xmlns:ns1="http://www.xbrl.org.es/es/2008/dgi/gp/eco-bas/2008-01-30" xmlns="" targetNamespace="http://www.xbrl.org.es/es/2008/dgi/gp/eco-bas/2008-01-30">
      <xsd:import namespace="http://www.xbrl.org.es/es/2008/dgi/gp/lc-cnae-2009/2008-01-30"/>
      <xsd:element nillable="true" name="ActivityDescription">
        <xsd:complexType>
          <xsd:simpleContent>
            <xsd:extension base="xsd:string">
              <xsd:attribute name="contextRef" form="unqualified" type="xsd:string"/>
            </xsd:extension>
          </xsd:simpleContent>
        </xsd:complexType>
      </xsd:element>
      <xsd:element nillable="true" name="ActivityCodeCNAE2009">
        <xsd:complexType>
          <xsd:sequence minOccurs="0">
            <xsd:element minOccurs="0" ref="ns0:Xcode_ACC.CNAE.2572"/>
          </xsd:sequence>
        </xsd:complexType>
      </xsd:element>
      <xsd:element nillable="true" name="PermanentContractTot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TemporaryContractTot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22" Namespace="http://www.xbrl.org.es/es/2008/dgi/gp/dat-inf/2008-01-30">
    <xsd:schema xmlns:xsd="http://www.w3.org/2001/XMLSchema" xmlns:ns0="http://www.xbrl.org.es/es/2008/dgi/gp/dat-inf/2008-01-30" xmlns="" targetNamespace="http://www.xbrl.org.es/es/2008/dgi/gp/dat-inf/2008-01-30">
      <xsd:element nillable="true" name="TotalPagesPresented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bsenceFinancialStatementPurpose">
        <xsd:complexType>
          <xsd:attribute name="contextRef" form="unqualified" type="xsd:string"/>
        </xsd:complexType>
      </xsd:element>
    </xsd:schema>
  </Schema>
  <Schema ID="Schema23" Namespace="http://www.w3.org/1999/xlink">
    <xsd:schema xmlns:xsd="http://www.w3.org/2001/XMLSchema" xmlns:ns0="http://www.w3.org/1999/xlink" xmlns="" targetNamespace="http://www.w3.org/1999/xlink">
      <xsd:attribute name="href" type="xsd:anyURI"/>
      <xsd:attribute name="type" type="xsd:string"/>
    </xsd:schema>
  </Schema>
  <Schema ID="Schema24" Namespace="http://www.icac.meh.es/es/fr/gaap/pgc07/memoria/comun/apartado0/IdentificacionGeneral/2009-01-01">
    <xsd:schema xmlns:xsd="http://www.w3.org/2001/XMLSchema" xmlns:ns0="http://www.xbrl.org.es/es/2008/dgi/gp/lc-int/2008-01-30" xmlns:ns1="http://www.xbrl.org.es/es/2008/dgi/gp/lc-es/2008-01-30" xmlns:ns2="http://www.xbrl.org.es/es/2008/dgi/gp/gen-ex/2008-01-30" xmlns:ns3="http://www.xbrl.org.es/es/2008/dgi/gp/est-gen/2008-01-30" xmlns:ns4="http://www.xbrl.org.es/es/2008/dgi/gp/eco-bas/2008-01-30" xmlns:ns5="http://www.xbrl.org.es/es/2008/dgi/gp/dat-inf/2008-01-30" xmlns:ns6="http://www.icac.meh.es/es/fr/gaap/pgc07/memoria/comun/apartado0/IdentificacionGeneral/2009-01-01" xmlns="" targetNamespace="http://www.icac.meh.es/es/fr/gaap/pgc07/memoria/comun/apartado0/IdentificacionGeneral/2009-01-01">
      <xsd:import namespace="http://www.xbrl.org.es/es/2008/dgi/gp/lc-int/2008-01-30"/>
      <xsd:import namespace="http://www.xbrl.org.es/es/2008/dgi/gp/lc-es/2008-01-30"/>
      <xsd:import namespace="http://www.xbrl.org.es/es/2008/dgi/gp/gen-ex/2008-01-30"/>
      <xsd:import namespace="http://www.xbrl.org.es/es/2008/dgi/gp/est-gen/2008-01-30"/>
      <xsd:import namespace="http://www.xbrl.org.es/es/2008/dgi/gp/eco-bas/2008-01-30"/>
      <xsd:import namespace="http://www.xbrl.org.es/es/2008/dgi/gp/dat-inf/2008-01-30"/>
      <xsd:element nillable="true" name="IdentificacionEmpresaTupla">
        <xsd:complexType>
          <xsd:sequence minOccurs="0">
            <xsd:element minOccurs="0" ref="ns1:Xcode_IDC.NIF"/>
            <xsd:element minOccurs="0" ref="ns3:IdentifierValue"/>
            <xsd:element minOccurs="0" ref="ns1:Xcode_LFC.23"/>
            <xsd:element minOccurs="0" ref="ns2:OthersLegalForm"/>
            <xsd:element minOccurs="0" ref="ns1:Xcode_NMT.DS"/>
            <xsd:element minOccurs="0" ref="ns3:LegalNameValue"/>
            <xsd:element minOccurs="0" ref="ns1:Xcode_ADL.01"/>
            <xsd:element minOccurs="0" ref="ns3:AddressLine"/>
            <xsd:element minOccurs="0" ref="ns3:MunicipalityName"/>
            <xsd:element minOccurs="0" ref="ns1:Xcode_RCI.46"/>
            <xsd:element minOccurs="0" ref="ns3:ZipPostalCode"/>
            <xsd:element minOccurs="0" ref="ns0:Xcode_UN3155.TE"/>
            <xsd:element minOccurs="0" ref="ns3:CommunicationValue"/>
          </xsd:sequence>
        </xsd:complexType>
      </xsd:element>
      <xsd:element nillable="true" name="PresentacionCuentasTupla">
        <xsd:complexType>
          <xsd:sequence minOccurs="0">
            <xsd:element minOccurs="0" nillable="true" name="YearFechaInicio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nillable="true" name="MonthFechaInicio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nillable="true" name="DayFechaInicio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nillable="true" name="YearFechaCierre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nillable="true" name="MonthFechaCierre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nillable="true" name="DayFechaCierreCuentas" form="qualified">
              <xsd:complexType>
                <xsd:simpleContent>
                  <xsd:extension base="xsd:integer">
                    <xsd:attribute name="contextRef" form="unqualified" type="xsd:string"/>
                  </xsd:extension>
                </xsd:simpleContent>
              </xsd:complexType>
            </xsd:element>
            <xsd:element minOccurs="0" ref="ns5:TotalPagesPresented"/>
            <xsd:element minOccurs="0" ref="ns5:AbsenceFinancialStatementPurpose"/>
          </xsd:sequence>
        </xsd:complexType>
      </xsd:element>
      <xsd:element nillable="true" name="ActividadTupla">
        <xsd:complexType>
          <xsd:sequence minOccurs="0">
            <xsd:element minOccurs="0" ref="ns4:ActivityDescription"/>
            <xsd:element minOccurs="0" ref="ns4:ActivityCodeCNAE2009"/>
          </xsd:sequence>
        </xsd:complexType>
      </xsd:element>
      <xsd:element nillable="true" name="PersonalAsalariadoCifraMediaEjercicio">
        <xsd:complexType>
          <xsd:sequence minOccurs="0">
            <xsd:element minOccurs="0" ref="ns4:PermanentContractTotal"/>
            <xsd:element minOccurs="0" ref="ns4:TemporaryContractTotal"/>
          </xsd:sequence>
        </xsd:complexType>
      </xsd:element>
      <xsd:element nillable="true" name="UnidadesTupla">
        <xsd:complexType>
          <xsd:sequence minOccurs="0">
            <xsd:element minOccurs="0" ref="ns1:Xcode_COT.01"/>
          </xsd:sequence>
        </xsd:complexType>
      </xsd:element>
      <xsd:element nillable="true" name="PertenenciaGrupoSociedadesTupla">
        <xsd:complexType>
          <xsd:sequence minOccurs="0">
            <xsd:element minOccurs="0" nillable="true" name="SociedadesDominanteUltimaTupla" form="qualified">
              <xsd:complexType>
                <xsd:sequence minOccurs="0">
                  <xsd:element minOccurs="0" ref="ns1:Xcode_PET.03"/>
                  <xsd:element minOccurs="0" nillable="true" name="IdentificacionSociedadTupla" form="qualified">
                    <xsd:complexType>
                      <xsd:all>
                        <xsd:element minOccurs="0" ref="ns1:Xcode_IDC.NIF"/>
                        <xsd:element minOccurs="0" ref="ns3:IdentifierValue"/>
                        <xsd:element minOccurs="0" ref="ns1:Xcode_NMT.DS"/>
                        <xsd:element minOccurs="0" ref="ns3:LegalNameValue"/>
                      </xsd:all>
                    </xsd:complexType>
                  </xsd:element>
                </xsd:sequence>
              </xsd:complexType>
            </xsd:element>
            <xsd:element minOccurs="0" nillable="true" name="SociedadesDominanteDirectaTupla" form="qualified">
              <xsd:complexType>
                <xsd:sequence minOccurs="0">
                  <xsd:element minOccurs="0" ref="ns1:Xcode_PET.04"/>
                  <xsd:element minOccurs="0" nillable="true" name="IdentificacionSociedadTupla" form="qualified">
                    <xsd:complexType>
                      <xsd:all>
                        <xsd:element minOccurs="0" ref="ns1:Xcode_IDC.NIF"/>
                        <xsd:element minOccurs="0" ref="ns3:IdentifierValue"/>
                        <xsd:element minOccurs="0" ref="ns1:Xcode_NMT.DS"/>
                        <xsd:element minOccurs="0" ref="ns3:LegalNameValue"/>
                      </xsd:all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 Namespace="http://www.icac.meh.es/es/fr/gaap/pgc07/comun-normalabreviado/2009-01-01">
    <xsd:schema xmlns:xsd="http://www.w3.org/2001/XMLSchema" xmlns:ns0="http://www.icac.meh.es/es/fr/gaap/pgc07/comun-normalabreviado/2009-01-01" xmlns="" targetNamespace="http://www.icac.meh.es/es/fr/gaap/pgc07/comun-normalabreviado/2009-01-01">
      <xsd:element nillable="true" name="ActivoCorrienteActivosNoCorrientesMantenidosParaVenta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OtrosInstrumentosPatrimonioNet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PasivosVinculadosActivosNoCorrientesMantenidosVenta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DiferenciaNegativaCombinacionesNegoc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26" Namespace="http://www.icac.meh.es/es/fr/gaap/pgc07/comun-base/2009-01-01">
    <xsd:schema xmlns:xsd="http://www.w3.org/2001/XMLSchema" xmlns:ns0="http://www.icac.meh.es/es/fr/gaap/pgc07/comun-base/2009-01-01" xmlns="" targetNamespace="http://www.icac.meh.es/es/fr/gaap/pgc07/comun-base/2009-01-01">
      <xsd:element nillable="true" name="ActivoNoCorrient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InmovilizadoIntangibl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InmovilizadoMateri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InversionesInmobiliari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InversionesEmpresasGrupoEmpresasAsociada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InversionesFinanciera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ActivosImpuestoDiferi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NoCorrienteDeudasComercialesNoCorrient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Existenci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DeudoresComercialesOtrasCuentasCobrar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DeudoresComercialesOtrasCuentasCobrarClientesVentasPrestacionesServic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DeudoresComercialesOtrasCuentasCobrarClientesVentasPrestacionesServicio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DeudoresComercialesOtrasCuentasCobrarClientesVentasPrestacionesServicio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DeudoresComercialesOtrasCuentasCobrarAccionistasDesembolsosExigid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InversionesEmpresasGrupoEmpresasAsociada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InversionesFinanciera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Periodificacione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ActivoCorrienteEfectivoOtrosActivosLiquidosEquivalent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TotalActiv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Capit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CapitalEscritura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CapitalNoExigi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PrimaEmision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Reserv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AccionesParticipacionesPatrimonioPropi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ResultadosEjerciciosAnterior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OtrasAportacionesSoc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ResultadoEjercici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FondosPropiosDividendoCuenta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AjustesCambioValor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SubvencionesDonacionesLegadosRecibid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Provisione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sLargoPlazoDeudasEntidadesCredit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sLargoPlazoAcreedoresArrendamientoFinancier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sEmpresasGrupoEmpresasAsociada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PasivosImpuestoDiferi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Periodificacione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AcreedoresComercialesNoCorrient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CaracteristicasEspeciale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Provisione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CortoPlazoDeudasEntidadesCredit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CortoPlazoAcreedoresArrendamientoFinancier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EmpresasGrupoEmpresasAsociad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AcreedoresComercialesOtrasCuentasPagar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AcreedoresComercialesOtrasCuentasPagarProveedor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AcreedoresComercialesOtrasCuentasPagarProveedoresLarg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AcreedoresComercialesOtrasCuentasPagarProveedore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Periodificacione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CaracteristicasEspecialesCortoPlaz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trimonioNetoPasivoTot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mporteNetoCifraNegoc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VariacionExistenciasProductosTerminadosProductosCursoFabricacion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TrabajosRealizadosEmpresaActiv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Aprovisionamient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OtrosIngresosExplotacion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GestionPersonal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OtrosGastosExplotacion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AmortizacionInmoviliza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mputacionSubvencionesInmovilizadoNoFinancieroOtr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ExcesosProvision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DeterioroResultadoEnajenacionesInmovilizad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trosResultad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ResultadoExplotacion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ngresosFinancier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ngresosFinancierosImputacionSubvencionesDonacionesLegadosCaracterFinancier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GastosFinancier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VariacionValorRazonableInstrumentosFinancier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DiferenciasCambi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DeterioroResultadoEnajenacionesInstrumentosFinancier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ResultadoFinancier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ResultadoAntesImpuest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mpuestosSobreBenefici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ResultadoEjercicio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27" Namespace="http://www.icac.meh.es/es/fr/gaap/pgc07/comun-abreviadopymes/2009-01-01">
    <xsd:schema xmlns:xsd="http://www.w3.org/2001/XMLSchema" xmlns:ns0="http://www.icac.meh.es/es/fr/gaap/pgc07/comun-abreviadopymes/2009-01-01" xmlns="" targetNamespace="http://www.icac.meh.es/es/fr/gaap/pgc07/comun-abreviadopymes/2009-01-01">
      <xsd:element nillable="true" name="ActivoCorrienteDeudoresComercialesOtrasCuentasCobrarOtrosDeudor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NoCorrienteDeudasLargoPlazoOtrasDeud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DeudasCortoPlazoOtrasDeuda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asivoCorrienteAcreedoresComercialesOtrasCuentasPagarOtrosAcreedore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  <xsd:element nillable="true" name="PerdidasGananciasOperacionesContinuadasIngresosFinancierosOtrosIngresosFinancieros">
        <xsd:complexType>
          <xsd:simpleContent>
            <xsd:extension base="xsd:integer">
              <xsd:attribute name="contextRef" form="unqualified" type="xsd:string"/>
            </xsd:extension>
          </xsd:simpleContent>
        </xsd:complexType>
      </xsd:element>
    </xsd:schema>
  </Schema>
  <Schema ID="Schema28" SchemaRef="Schema15 Schema16 Schema17 Schema18 Schema19 Schema20 Schema21 Schema22 Schema23 Schema24 Schema25 Schema26 Schema27" Namespace="http://www.xbrl.org/2003/instance">
    <xsd:schema xmlns:xsd="http://www.w3.org/2001/XMLSchema" xmlns:ns0="http://www.xbrl.org/2003/linkbase" xmlns:ns1="http://www.xbrl.org/2003/instance" xmlns:ns2="http://www.icac.meh.es/es/fr/gaap/pgc07/memoria/comun/apartado0/IdentificacionGeneral/2009-01-01" xmlns:ns3="http://www.icac.meh.es/es/fr/gaap/pgc07/comun-normalabreviado/2009-01-01" xmlns:ns4="http://www.icac.meh.es/es/fr/gaap/pgc07/comun-base/2009-01-01" xmlns:ns5="http://www.icac.meh.es/es/fr/gaap/pgc07/comun-abreviadopymes/2009-01-01" xmlns="" targetNamespace="http://www.xbrl.org/2003/instance">
      <xsd:import namespace="http://www.xbrl.org/2003/linkbase"/>
      <xsd:import namespace="http://www.icac.meh.es/es/fr/gaap/pgc07/memoria/comun/apartado0/IdentificacionGeneral/2009-01-01"/>
      <xsd:import namespace="http://www.icac.meh.es/es/fr/gaap/pgc07/comun-normalabreviado/2009-01-01"/>
      <xsd:import namespace="http://www.icac.meh.es/es/fr/gaap/pgc07/comun-base/2009-01-01"/>
      <xsd:import namespace="http://www.icac.meh.es/es/fr/gaap/pgc07/comun-abreviadopymes/2009-01-01"/>
      <xsd:element nillable="true" name="xbrl">
        <xsd:complexType>
          <xsd:sequence minOccurs="0">
            <xsd:element minOccurs="0" ref="ns0:schemaRef"/>
            <xsd:element minOccurs="0" maxOccurs="unbounded" nillable="true" name="context" form="qualified">
              <xsd:complexType>
                <xsd:sequence minOccurs="0">
                  <xsd:element minOccurs="0" nillable="true" name="entity" form="qualified">
                    <xsd:complexType>
                      <xsd:sequence minOccurs="0">
                        <xsd:element minOccurs="0" nillable="true" name="identifier" form="qualified">
                          <xsd:complexType>
                            <xsd:simpleContent>
                              <xsd:extension base="xsd:integer">
                                <xsd:attribute name="scheme" form="unqualified" type="xsd:string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  <xsd:element minOccurs="0" nillable="true" name="period" form="qualified">
                    <xsd:complexType>
                      <xsd:all>
                        <xsd:element minOccurs="0" nillable="true" type="xsd:date" name="startDate" form="qualified"/>
                        <xsd:element minOccurs="0" nillable="true" type="xsd:date" name="endDate" form="qualified"/>
                        <xsd:element minOccurs="0" nillable="true" type="xsd:date" name="instant" form="qualified"/>
                      </xsd:all>
                    </xsd:complexType>
                  </xsd:element>
                </xsd:sequence>
                <xsd:attribute name="id" form="unqualified" type="xsd:string"/>
              </xsd:complexType>
            </xsd:element>
            <xsd:element minOccurs="0" nillable="true" name="unit" form="qualified">
              <xsd:complexType>
                <xsd:sequence minOccurs="0">
                  <xsd:element minOccurs="0" nillable="true" type="xsd:string" name="measure" form="qualified"/>
                </xsd:sequence>
                <xsd:attribute name="id" form="unqualified" type="xsd:string"/>
              </xsd:complexType>
            </xsd:element>
            <xsd:element minOccurs="0" ref="ns2:IdentificacionEmpresaTupla"/>
            <xsd:element minOccurs="0" maxOccurs="unbounded" ref="ns2:PresentacionCuentasTupla"/>
            <xsd:element minOccurs="0" ref="ns2:ActividadTupla"/>
            <xsd:element minOccurs="0" maxOccurs="unbounded" ref="ns2:PersonalAsalariadoCifraMediaEjercicio"/>
            <xsd:element minOccurs="0" ref="ns2:UnidadesTupla"/>
            <xsd:element minOccurs="0" ref="ns2:PertenenciaGrupoSociedadesTupla"/>
            <xsd:element minOccurs="0" maxOccurs="unbounded" ref="ns4:ActivoNoCorriente"/>
            <xsd:element minOccurs="0" maxOccurs="unbounded" ref="ns4:ActivoNoCorrienteInmovilizadoIntangible"/>
            <xsd:element minOccurs="0" maxOccurs="unbounded" ref="ns4:ActivoNoCorrienteInmovilizadoMaterial"/>
            <xsd:element minOccurs="0" maxOccurs="unbounded" ref="ns4:ActivoNoCorrienteInversionesInmobiliarias"/>
            <xsd:element minOccurs="0" maxOccurs="unbounded" ref="ns4:ActivoNoCorrienteInversionesEmpresasGrupoEmpresasAsociadasLargoPlazo"/>
            <xsd:element minOccurs="0" maxOccurs="unbounded" ref="ns4:ActivoNoCorrienteInversionesFinancierasLargoPlazo"/>
            <xsd:element minOccurs="0" maxOccurs="unbounded" ref="ns4:ActivoNoCorrienteActivosImpuestoDiferido"/>
            <xsd:element minOccurs="0" maxOccurs="unbounded" ref="ns4:ActivoNoCorrienteDeudasComercialesNoCorriente"/>
            <xsd:element minOccurs="0" maxOccurs="unbounded" ref="ns4:ActivoCorriente"/>
            <xsd:element minOccurs="0" maxOccurs="unbounded" ref="ns3:ActivoCorrienteActivosNoCorrientesMantenidosParaVenta"/>
            <xsd:element minOccurs="0" maxOccurs="unbounded" ref="ns4:ActivoCorrienteExistencias"/>
            <xsd:element minOccurs="0" maxOccurs="unbounded" ref="ns4:ActivoCorrienteDeudoresComercialesOtrasCuentasCobrar"/>
            <xsd:element minOccurs="0" maxOccurs="unbounded" ref="ns4:ActivoCorrienteDeudoresComercialesOtrasCuentasCobrarClientesVentasPrestacionesServicios"/>
            <xsd:element minOccurs="0" maxOccurs="unbounded" ref="ns4:ActivoCorrienteDeudoresComercialesOtrasCuentasCobrarClientesVentasPrestacionesServiciosLargoPlazo"/>
            <xsd:element minOccurs="0" maxOccurs="unbounded" ref="ns4:ActivoCorrienteDeudoresComercialesOtrasCuentasCobrarClientesVentasPrestacionesServiciosCortoPlazo"/>
            <xsd:element minOccurs="0" maxOccurs="unbounded" ref="ns4:ActivoCorrienteDeudoresComercialesOtrasCuentasCobrarAccionistasDesembolsosExigidos"/>
            <xsd:element minOccurs="0" maxOccurs="unbounded" ref="ns5:ActivoCorrienteDeudoresComercialesOtrasCuentasCobrarOtrosDeudores"/>
            <xsd:element minOccurs="0" maxOccurs="unbounded" ref="ns4:ActivoCorrienteInversionesEmpresasGrupoEmpresasAsociadasCortoPlazo"/>
            <xsd:element minOccurs="0" maxOccurs="unbounded" ref="ns4:ActivoCorrienteInversionesFinancierasCortoPlazo"/>
            <xsd:element minOccurs="0" maxOccurs="unbounded" ref="ns4:ActivoCorrientePeriodificacionesCortoPlazo"/>
            <xsd:element minOccurs="0" maxOccurs="unbounded" ref="ns4:ActivoCorrienteEfectivoOtrosActivosLiquidosEquivalentes"/>
            <xsd:element minOccurs="0" maxOccurs="unbounded" ref="ns4:TotalActivo"/>
            <xsd:element minOccurs="0" maxOccurs="unbounded" ref="ns4:PatrimonioNeto"/>
            <xsd:element minOccurs="0" maxOccurs="unbounded" ref="ns4:PatrimonioNetoFondosPropios"/>
            <xsd:element minOccurs="0" maxOccurs="unbounded" ref="ns4:PatrimonioNetoFondosPropiosCapital"/>
            <xsd:element minOccurs="0" maxOccurs="unbounded" ref="ns4:PatrimonioNetoFondosPropiosCapitalEscriturado"/>
            <xsd:element minOccurs="0" maxOccurs="unbounded" ref="ns4:PatrimonioNetoFondosPropiosCapitalNoExigido"/>
            <xsd:element minOccurs="0" maxOccurs="unbounded" ref="ns4:PatrimonioNetoFondosPropiosPrimaEmision"/>
            <xsd:element minOccurs="0" maxOccurs="unbounded" ref="ns4:PatrimonioNetoFondosPropiosReservas"/>
            <xsd:element minOccurs="0" maxOccurs="unbounded" ref="ns4:PatrimonioNetoFondosPropiosAccionesParticipacionesPatrimonioPropias"/>
            <xsd:element minOccurs="0" maxOccurs="unbounded" ref="ns4:PatrimonioNetoFondosPropiosResultadosEjerciciosAnteriores"/>
            <xsd:element minOccurs="0" maxOccurs="unbounded" ref="ns4:PatrimonioNetoFondosPropiosOtrasAportacionesSocios"/>
            <xsd:element minOccurs="0" maxOccurs="unbounded" ref="ns4:PatrimonioNetoFondosPropiosResultadoEjercicio"/>
            <xsd:element minOccurs="0" maxOccurs="unbounded" ref="ns4:PatrimonioNetoFondosPropiosDividendoCuenta"/>
            <xsd:element minOccurs="0" maxOccurs="unbounded" ref="ns3:PatrimonioNetoFondosPropiosOtrosInstrumentosPatrimonioNeto"/>
            <xsd:element minOccurs="0" maxOccurs="unbounded" ref="ns4:PatrimonioNetoAjustesCambioValor"/>
            <xsd:element minOccurs="0" maxOccurs="unbounded" ref="ns4:PatrimonioNetoSubvencionesDonacionesLegadosRecibidos"/>
            <xsd:element minOccurs="0" maxOccurs="unbounded" ref="ns4:PasivoNoCorriente"/>
            <xsd:element minOccurs="0" maxOccurs="unbounded" ref="ns4:PasivoNoCorrienteProvisionesLargoPlazo"/>
            <xsd:element minOccurs="0" maxOccurs="unbounded" ref="ns4:PasivoNoCorrienteDeudasLargoPlazo"/>
            <xsd:element minOccurs="0" maxOccurs="unbounded" ref="ns4:PasivoNoCorrienteDeudasLargoPlazoDeudasEntidadesCredito"/>
            <xsd:element minOccurs="0" maxOccurs="unbounded" ref="ns4:PasivoNoCorrienteDeudasLargoPlazoAcreedoresArrendamientoFinanciero"/>
            <xsd:element minOccurs="0" maxOccurs="unbounded" ref="ns5:PasivoNoCorrienteDeudasLargoPlazoOtrasDeudas"/>
            <xsd:element minOccurs="0" maxOccurs="unbounded" ref="ns4:PasivoNoCorrienteDeudasEmpresasGrupoEmpresasAsociadasLargoPlazo"/>
            <xsd:element minOccurs="0" maxOccurs="unbounded" ref="ns4:PasivoNoCorrientePasivosImpuestoDiferido"/>
            <xsd:element minOccurs="0" maxOccurs="unbounded" ref="ns4:PasivoNoCorrientePeriodificacionesLargoPlazo"/>
            <xsd:element minOccurs="0" maxOccurs="unbounded" ref="ns4:PasivoNoCorrienteAcreedoresComercialesNoCorrientes"/>
            <xsd:element minOccurs="0" maxOccurs="unbounded" ref="ns4:PasivoNoCorrienteDeudaCaracteristicasEspecialesLargoPlazo"/>
            <xsd:element minOccurs="0" maxOccurs="unbounded" ref="ns4:PasivoCorriente"/>
            <xsd:element minOccurs="0" maxOccurs="unbounded" ref="ns3:PasivoCorrientePasivosVinculadosActivosNoCorrientesMantenidosVenta"/>
            <xsd:element minOccurs="0" maxOccurs="unbounded" ref="ns4:PasivoCorrienteProvisionesCortoPlazo"/>
            <xsd:element minOccurs="0" maxOccurs="unbounded" ref="ns4:PasivoCorrienteDeudasCortoPlazo"/>
            <xsd:element minOccurs="0" maxOccurs="unbounded" ref="ns4:PasivoCorrienteDeudasCortoPlazoDeudasEntidadesCredito"/>
            <xsd:element minOccurs="0" maxOccurs="unbounded" ref="ns4:PasivoCorrienteDeudasCortoPlazoAcreedoresArrendamientoFinanciero"/>
            <xsd:element minOccurs="0" maxOccurs="unbounded" ref="ns5:PasivoCorrienteDeudasCortoPlazoOtrasDeudas"/>
            <xsd:element minOccurs="0" maxOccurs="unbounded" ref="ns4:PasivoCorrienteDeudasEmpresasGrupoEmpresasAsociadas"/>
            <xsd:element minOccurs="0" maxOccurs="unbounded" ref="ns4:PasivoCorrienteAcreedoresComercialesOtrasCuentasPagar"/>
            <xsd:element minOccurs="0" maxOccurs="unbounded" ref="ns4:PasivoCorrienteAcreedoresComercialesOtrasCuentasPagarProveedores"/>
            <xsd:element minOccurs="0" maxOccurs="unbounded" ref="ns4:PasivoCorrienteAcreedoresComercialesOtrasCuentasPagarProveedoresLargoPlazo"/>
            <xsd:element minOccurs="0" maxOccurs="unbounded" ref="ns4:PasivoCorrienteAcreedoresComercialesOtrasCuentasPagarProveedoresCortoPlazo"/>
            <xsd:element minOccurs="0" maxOccurs="unbounded" ref="ns5:PasivoCorrienteAcreedoresComercialesOtrasCuentasPagarOtrosAcreedores"/>
            <xsd:element minOccurs="0" maxOccurs="unbounded" ref="ns4:PasivoCorrientePeriodificacionesCortoPlazo"/>
            <xsd:element minOccurs="0" maxOccurs="unbounded" ref="ns4:PasivoCorrienteDeudasCaracteristicasEspecialesCortoPlazo"/>
            <xsd:element minOccurs="0" maxOccurs="unbounded" ref="ns4:PatrimonioNetoPasivoTotal"/>
            <xsd:element minOccurs="0" maxOccurs="unbounded" ref="ns4:PerdidasGananciasOperacionesContinuadasImporteNetoCifraNegocios"/>
            <xsd:element minOccurs="0" maxOccurs="unbounded" ref="ns4:PerdidasGananciasOperacionesContinuadasVariacionExistenciasProductosTerminadosProductosCursoFabricacion"/>
            <xsd:element minOccurs="0" maxOccurs="unbounded" ref="ns4:PerdidasGananciasOperacionesContinuadasTrabajosRealizadosEmpresaActivo"/>
            <xsd:element minOccurs="0" maxOccurs="unbounded" ref="ns4:PerdidasGananciasOperacionesContinuadasAprovisionamientos"/>
            <xsd:element minOccurs="0" maxOccurs="unbounded" ref="ns4:PerdidasGananciasOperacionesContinuadasOtrosIngresosExplotacion"/>
            <xsd:element minOccurs="0" maxOccurs="unbounded" ref="ns4:PerdidasGananciasOperacionesContinuadasGestionPersonal"/>
            <xsd:element minOccurs="0" maxOccurs="unbounded" ref="ns4:PerdidasGananciasOperacionesContinuadasOtrosGastosExplotacion"/>
            <xsd:element minOccurs="0" maxOccurs="unbounded" ref="ns4:PerdidasGananciasOperacionesContinuadasAmortizacionInmovilizado"/>
            <xsd:element minOccurs="0" maxOccurs="unbounded" ref="ns4:PerdidasGananciasOperacionesContinuadasImputacionSubvencionesInmovilizadoNoFinancieroOtras"/>
            <xsd:element minOccurs="0" maxOccurs="unbounded" ref="ns4:PerdidasGananciasOperacionesContinuadasExcesosProvisiones"/>
            <xsd:element minOccurs="0" maxOccurs="unbounded" ref="ns4:PerdidasGananciasOperacionesContinuadasDeterioroResultadoEnajenacionesInmovilizado"/>
            <xsd:element minOccurs="0" maxOccurs="unbounded" ref="ns3:PerdidasGananciasOperacionesContinuadasDiferenciaNegativaCombinacionesNegocios"/>
            <xsd:element minOccurs="0" maxOccurs="unbounded" ref="ns4:PerdidasGananciasOtrosResultados"/>
            <xsd:element minOccurs="0" maxOccurs="unbounded" ref="ns4:PerdidasGananciasResultadoExplotacion"/>
            <xsd:element minOccurs="0" maxOccurs="unbounded" ref="ns4:PerdidasGananciasOperacionesContinuadasIngresosFinancieros"/>
            <xsd:element minOccurs="0" maxOccurs="unbounded" ref="ns4:PerdidasGananciasOperacionesContinuadasIngresosFinancierosImputacionSubvencionesDonacionesLegadosCaracterFinanciero"/>
            <xsd:element minOccurs="0" maxOccurs="unbounded" ref="ns5:PerdidasGananciasOperacionesContinuadasIngresosFinancierosOtrosIngresosFinancieros"/>
            <xsd:element minOccurs="0" maxOccurs="unbounded" ref="ns4:PerdidasGananciasOperacionesContinuadasGastosFinancieros"/>
            <xsd:element minOccurs="0" maxOccurs="unbounded" ref="ns4:PerdidasGananciasOperacionesContinuadasVariacionValorRazonableInstrumentosFinancieros"/>
            <xsd:element minOccurs="0" maxOccurs="unbounded" ref="ns4:PerdidasGananciasOperacionesContinuadasDiferenciasCambio"/>
            <xsd:element minOccurs="0" maxOccurs="unbounded" ref="ns4:PerdidasGananciasOperacionesContinuadasDeterioroResultadoEnajenacionesInstrumentosFinancieros"/>
            <xsd:element minOccurs="0" maxOccurs="unbounded" ref="ns4:PerdidasGananciasResultadoFinanciero"/>
            <xsd:element minOccurs="0" maxOccurs="unbounded" ref="ns4:PerdidasGananciasResultadoAntesImpuestos"/>
            <xsd:element minOccurs="0" maxOccurs="unbounded" ref="ns4:PerdidasGananciasOperacionesContinuadasImpuestosSobreBeneficios"/>
            <xsd:element minOccurs="0" maxOccurs="unbounded" ref="ns4:PerdidasGananciasResultadoEjercicio"/>
          </xsd:sequence>
        </xsd:complexType>
      </xsd:element>
    </xsd:schema>
  </Schema>
  <Map ID="10" Name="xbrl_Map" RootElement="xbrl" SchemaID="Schema28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</xdr:row>
          <xdr:rowOff>9525</xdr:rowOff>
        </xdr:from>
        <xdr:to>
          <xdr:col>0</xdr:col>
          <xdr:colOff>2238375</xdr:colOff>
          <xdr:row>8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informe XBRL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8</xdr:row>
          <xdr:rowOff>123825</xdr:rowOff>
        </xdr:from>
        <xdr:to>
          <xdr:col>0</xdr:col>
          <xdr:colOff>2238375</xdr:colOff>
          <xdr:row>11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690282</xdr:colOff>
      <xdr:row>0</xdr:row>
      <xdr:rowOff>62753</xdr:rowOff>
    </xdr:from>
    <xdr:to>
      <xdr:col>0</xdr:col>
      <xdr:colOff>2167566</xdr:colOff>
      <xdr:row>4</xdr:row>
      <xdr:rowOff>110736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82" y="62753"/>
          <a:ext cx="1475379" cy="9066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807720</xdr:colOff>
      <xdr:row>0</xdr:row>
      <xdr:rowOff>114300</xdr:rowOff>
    </xdr:from>
    <xdr:to>
      <xdr:col>0</xdr:col>
      <xdr:colOff>2083057</xdr:colOff>
      <xdr:row>4</xdr:row>
      <xdr:rowOff>37383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114300"/>
          <a:ext cx="1275337" cy="784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  <pageSetUpPr fitToPage="1"/>
  </sheetPr>
  <dimension ref="A1:AC116"/>
  <sheetViews>
    <sheetView showGridLines="0" tabSelected="1" zoomScale="85" zoomScaleNormal="85" zoomScaleSheetLayoutView="25" workbookViewId="0">
      <pane ySplit="13" topLeftCell="A14" activePane="bottomLeft" state="frozen"/>
      <selection pane="bottomLeft" activeCell="C5" sqref="C5"/>
    </sheetView>
  </sheetViews>
  <sheetFormatPr baseColWidth="10" defaultColWidth="11.42578125" defaultRowHeight="15" x14ac:dyDescent="0.25"/>
  <cols>
    <col min="1" max="1" width="69.5703125" style="3" customWidth="1"/>
    <col min="2" max="2" width="11.42578125" style="3"/>
    <col min="3" max="3" width="36.5703125" style="3" customWidth="1"/>
    <col min="4" max="16384" width="11.42578125" style="3"/>
  </cols>
  <sheetData>
    <row r="1" spans="1:29" s="1" customFormat="1" ht="20.100000000000001" customHeight="1" x14ac:dyDescent="0.25">
      <c r="A1" s="24"/>
      <c r="C1" s="50" t="s">
        <v>121</v>
      </c>
    </row>
    <row r="2" spans="1:29" ht="24" customHeight="1" x14ac:dyDescent="0.25">
      <c r="A2" s="31"/>
      <c r="B2" s="32"/>
      <c r="C2" s="57"/>
    </row>
    <row r="3" spans="1:29" ht="12" customHeight="1" x14ac:dyDescent="0.25">
      <c r="A3" s="33" t="s">
        <v>96</v>
      </c>
      <c r="B3" s="34"/>
      <c r="C3" s="52"/>
    </row>
    <row r="4" spans="1:29" ht="12" customHeight="1" x14ac:dyDescent="0.25">
      <c r="A4" s="33"/>
      <c r="B4" s="34"/>
      <c r="C4" s="51"/>
    </row>
    <row r="5" spans="1:29" ht="12" customHeight="1" x14ac:dyDescent="0.25">
      <c r="A5" s="33" t="s">
        <v>31</v>
      </c>
      <c r="B5" s="34">
        <v>2009</v>
      </c>
      <c r="C5" s="49"/>
    </row>
    <row r="6" spans="1:29" ht="12" customHeight="1" x14ac:dyDescent="0.25">
      <c r="A6" s="33" t="s">
        <v>30</v>
      </c>
      <c r="B6" s="34">
        <v>2001</v>
      </c>
      <c r="C6" s="53"/>
    </row>
    <row r="7" spans="1:29" ht="12" customHeight="1" x14ac:dyDescent="0.25">
      <c r="A7" s="33" t="s">
        <v>28</v>
      </c>
      <c r="B7" s="34">
        <v>1024</v>
      </c>
      <c r="C7" s="49"/>
    </row>
    <row r="8" spans="1:29" ht="12" customHeight="1" x14ac:dyDescent="0.25">
      <c r="A8" s="35" t="s">
        <v>32</v>
      </c>
      <c r="B8" s="37"/>
      <c r="C8" s="49"/>
    </row>
    <row r="9" spans="1:29" ht="12" customHeight="1" x14ac:dyDescent="0.25">
      <c r="A9" s="29" t="s">
        <v>33</v>
      </c>
      <c r="B9" s="30">
        <v>1102</v>
      </c>
      <c r="C9" s="45"/>
    </row>
    <row r="10" spans="1:29" ht="12" customHeight="1" x14ac:dyDescent="0.25">
      <c r="A10" s="29" t="s">
        <v>29</v>
      </c>
      <c r="B10" s="30">
        <v>1101</v>
      </c>
      <c r="C10" s="45"/>
    </row>
    <row r="11" spans="1:29" ht="12" customHeight="1" x14ac:dyDescent="0.25">
      <c r="A11" s="23" t="s">
        <v>26</v>
      </c>
      <c r="B11" s="18">
        <v>4001</v>
      </c>
      <c r="C11" s="38"/>
    </row>
    <row r="12" spans="1:29" ht="12" customHeight="1" x14ac:dyDescent="0.25">
      <c r="A12" s="23" t="s">
        <v>27</v>
      </c>
      <c r="B12" s="18">
        <v>4002</v>
      </c>
      <c r="C12" s="38"/>
    </row>
    <row r="13" spans="1:29" ht="24.95" customHeight="1" x14ac:dyDescent="0.25">
      <c r="A13" s="6"/>
      <c r="B13" s="4"/>
      <c r="C13" s="58" t="str">
        <f>IF(C10&lt;&gt;0,YEAR(C10),"")</f>
        <v/>
      </c>
    </row>
    <row r="14" spans="1:29" ht="24.95" customHeight="1" x14ac:dyDescent="0.25">
      <c r="A14" s="59" t="s">
        <v>23</v>
      </c>
      <c r="B14" s="59"/>
      <c r="C14" s="59"/>
    </row>
    <row r="15" spans="1:29" x14ac:dyDescent="0.25">
      <c r="A15" s="16" t="s">
        <v>34</v>
      </c>
      <c r="B15" s="17">
        <v>11000</v>
      </c>
      <c r="C15" s="46"/>
      <c r="D15" s="8"/>
      <c r="E15" s="8"/>
      <c r="F15" s="8"/>
      <c r="G15" s="8"/>
      <c r="H15" s="8"/>
      <c r="I15" s="8"/>
      <c r="J15" s="8"/>
      <c r="K15" s="8"/>
      <c r="L15" s="8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29" x14ac:dyDescent="0.25">
      <c r="A16" s="9" t="s">
        <v>35</v>
      </c>
      <c r="B16" s="2">
        <v>11100</v>
      </c>
      <c r="C16" s="47"/>
    </row>
    <row r="17" spans="1:3" x14ac:dyDescent="0.25">
      <c r="A17" s="9" t="s">
        <v>36</v>
      </c>
      <c r="B17" s="2">
        <v>11200</v>
      </c>
      <c r="C17" s="47"/>
    </row>
    <row r="18" spans="1:3" x14ac:dyDescent="0.25">
      <c r="A18" s="9" t="s">
        <v>37</v>
      </c>
      <c r="B18" s="2">
        <v>11300</v>
      </c>
      <c r="C18" s="47"/>
    </row>
    <row r="19" spans="1:3" x14ac:dyDescent="0.25">
      <c r="A19" s="9" t="s">
        <v>38</v>
      </c>
      <c r="B19" s="2">
        <v>11400</v>
      </c>
      <c r="C19" s="47"/>
    </row>
    <row r="20" spans="1:3" x14ac:dyDescent="0.25">
      <c r="A20" s="9" t="s">
        <v>39</v>
      </c>
      <c r="B20" s="2">
        <v>11500</v>
      </c>
      <c r="C20" s="47"/>
    </row>
    <row r="21" spans="1:3" x14ac:dyDescent="0.25">
      <c r="A21" s="9" t="s">
        <v>40</v>
      </c>
      <c r="B21" s="2">
        <v>11600</v>
      </c>
      <c r="C21" s="47"/>
    </row>
    <row r="22" spans="1:3" x14ac:dyDescent="0.25">
      <c r="A22" s="9" t="s">
        <v>41</v>
      </c>
      <c r="B22" s="2">
        <v>11700</v>
      </c>
      <c r="C22" s="47"/>
    </row>
    <row r="23" spans="1:3" x14ac:dyDescent="0.25">
      <c r="A23" s="16" t="s">
        <v>42</v>
      </c>
      <c r="B23" s="17">
        <v>12000</v>
      </c>
      <c r="C23" s="39"/>
    </row>
    <row r="24" spans="1:3" x14ac:dyDescent="0.25">
      <c r="A24" s="9" t="s">
        <v>43</v>
      </c>
      <c r="B24" s="2">
        <v>12100</v>
      </c>
      <c r="C24" s="40"/>
    </row>
    <row r="25" spans="1:3" x14ac:dyDescent="0.25">
      <c r="A25" s="9" t="s">
        <v>44</v>
      </c>
      <c r="B25" s="2">
        <v>12200</v>
      </c>
      <c r="C25" s="40"/>
    </row>
    <row r="26" spans="1:3" x14ac:dyDescent="0.25">
      <c r="A26" s="9" t="s">
        <v>45</v>
      </c>
      <c r="B26" s="2">
        <v>12300</v>
      </c>
      <c r="C26" s="40"/>
    </row>
    <row r="27" spans="1:3" x14ac:dyDescent="0.25">
      <c r="A27" s="10" t="s">
        <v>46</v>
      </c>
      <c r="B27" s="4">
        <v>12380</v>
      </c>
      <c r="C27" s="40"/>
    </row>
    <row r="28" spans="1:3" x14ac:dyDescent="0.25">
      <c r="A28" s="11" t="s">
        <v>47</v>
      </c>
      <c r="B28" s="4">
        <v>12381</v>
      </c>
      <c r="C28" s="40"/>
    </row>
    <row r="29" spans="1:3" x14ac:dyDescent="0.25">
      <c r="A29" s="11" t="s">
        <v>48</v>
      </c>
      <c r="B29" s="4">
        <v>12382</v>
      </c>
      <c r="C29" s="40"/>
    </row>
    <row r="30" spans="1:3" x14ac:dyDescent="0.25">
      <c r="A30" s="10" t="s">
        <v>49</v>
      </c>
      <c r="B30" s="4">
        <v>12370</v>
      </c>
      <c r="C30" s="40"/>
    </row>
    <row r="31" spans="1:3" x14ac:dyDescent="0.25">
      <c r="A31" s="10" t="s">
        <v>50</v>
      </c>
      <c r="B31" s="4">
        <v>12390</v>
      </c>
      <c r="C31" s="40"/>
    </row>
    <row r="32" spans="1:3" x14ac:dyDescent="0.25">
      <c r="A32" s="9" t="s">
        <v>51</v>
      </c>
      <c r="B32" s="2">
        <v>12400</v>
      </c>
      <c r="C32" s="40"/>
    </row>
    <row r="33" spans="1:3" x14ac:dyDescent="0.25">
      <c r="A33" s="9" t="s">
        <v>52</v>
      </c>
      <c r="B33" s="2">
        <v>12500</v>
      </c>
      <c r="C33" s="40"/>
    </row>
    <row r="34" spans="1:3" x14ac:dyDescent="0.25">
      <c r="A34" s="9" t="s">
        <v>53</v>
      </c>
      <c r="B34" s="2">
        <v>12600</v>
      </c>
      <c r="C34" s="40"/>
    </row>
    <row r="35" spans="1:3" x14ac:dyDescent="0.25">
      <c r="A35" s="9" t="s">
        <v>54</v>
      </c>
      <c r="B35" s="2">
        <v>12700</v>
      </c>
      <c r="C35" s="40"/>
    </row>
    <row r="36" spans="1:3" x14ac:dyDescent="0.25">
      <c r="A36" s="16" t="s">
        <v>55</v>
      </c>
      <c r="B36" s="17">
        <v>10000</v>
      </c>
      <c r="C36" s="39"/>
    </row>
    <row r="37" spans="1:3" ht="24.95" customHeight="1" x14ac:dyDescent="0.25">
      <c r="A37" s="59" t="s">
        <v>25</v>
      </c>
      <c r="B37" s="59"/>
      <c r="C37" s="59"/>
    </row>
    <row r="38" spans="1:3" x14ac:dyDescent="0.25">
      <c r="A38" s="16" t="s">
        <v>56</v>
      </c>
      <c r="B38" s="17">
        <v>20000</v>
      </c>
      <c r="C38" s="41"/>
    </row>
    <row r="39" spans="1:3" x14ac:dyDescent="0.25">
      <c r="A39" s="6" t="s">
        <v>57</v>
      </c>
      <c r="B39" s="2">
        <v>21000</v>
      </c>
      <c r="C39" s="42"/>
    </row>
    <row r="40" spans="1:3" x14ac:dyDescent="0.25">
      <c r="A40" s="9" t="s">
        <v>58</v>
      </c>
      <c r="B40" s="2">
        <v>21100</v>
      </c>
      <c r="C40" s="42"/>
    </row>
    <row r="41" spans="1:3" x14ac:dyDescent="0.25">
      <c r="A41" s="10" t="s">
        <v>59</v>
      </c>
      <c r="B41" s="4">
        <v>21110</v>
      </c>
      <c r="C41" s="42"/>
    </row>
    <row r="42" spans="1:3" x14ac:dyDescent="0.25">
      <c r="A42" s="10" t="s">
        <v>60</v>
      </c>
      <c r="B42" s="4">
        <v>21120</v>
      </c>
      <c r="C42" s="42"/>
    </row>
    <row r="43" spans="1:3" x14ac:dyDescent="0.25">
      <c r="A43" s="9" t="s">
        <v>61</v>
      </c>
      <c r="B43" s="2">
        <v>21200</v>
      </c>
      <c r="C43" s="42"/>
    </row>
    <row r="44" spans="1:3" x14ac:dyDescent="0.25">
      <c r="A44" s="9" t="s">
        <v>62</v>
      </c>
      <c r="B44" s="2">
        <v>21300</v>
      </c>
      <c r="C44" s="40"/>
    </row>
    <row r="45" spans="1:3" x14ac:dyDescent="0.25">
      <c r="A45" s="9" t="s">
        <v>63</v>
      </c>
      <c r="B45" s="2">
        <v>21400</v>
      </c>
      <c r="C45" s="42"/>
    </row>
    <row r="46" spans="1:3" x14ac:dyDescent="0.25">
      <c r="A46" s="9" t="s">
        <v>64</v>
      </c>
      <c r="B46" s="2">
        <v>21500</v>
      </c>
      <c r="C46" s="42"/>
    </row>
    <row r="47" spans="1:3" x14ac:dyDescent="0.25">
      <c r="A47" s="9" t="s">
        <v>65</v>
      </c>
      <c r="B47" s="2">
        <v>21600</v>
      </c>
      <c r="C47" s="42"/>
    </row>
    <row r="48" spans="1:3" x14ac:dyDescent="0.25">
      <c r="A48" s="9" t="s">
        <v>66</v>
      </c>
      <c r="B48" s="2">
        <v>21700</v>
      </c>
      <c r="C48" s="42"/>
    </row>
    <row r="49" spans="1:3" x14ac:dyDescent="0.25">
      <c r="A49" s="9" t="s">
        <v>67</v>
      </c>
      <c r="B49" s="2">
        <v>21800</v>
      </c>
      <c r="C49" s="42"/>
    </row>
    <row r="50" spans="1:3" x14ac:dyDescent="0.25">
      <c r="A50" s="9" t="s">
        <v>68</v>
      </c>
      <c r="B50" s="2">
        <v>21900</v>
      </c>
      <c r="C50" s="42"/>
    </row>
    <row r="51" spans="1:3" x14ac:dyDescent="0.25">
      <c r="A51" s="6" t="s">
        <v>69</v>
      </c>
      <c r="B51" s="2">
        <v>22000</v>
      </c>
      <c r="C51" s="42"/>
    </row>
    <row r="52" spans="1:3" x14ac:dyDescent="0.25">
      <c r="A52" s="6" t="s">
        <v>70</v>
      </c>
      <c r="B52" s="2">
        <v>23000</v>
      </c>
      <c r="C52" s="42"/>
    </row>
    <row r="53" spans="1:3" x14ac:dyDescent="0.25">
      <c r="A53" s="16" t="s">
        <v>71</v>
      </c>
      <c r="B53" s="17">
        <v>31000</v>
      </c>
      <c r="C53" s="41"/>
    </row>
    <row r="54" spans="1:3" x14ac:dyDescent="0.25">
      <c r="A54" s="9" t="s">
        <v>72</v>
      </c>
      <c r="B54" s="2">
        <v>31100</v>
      </c>
      <c r="C54" s="42"/>
    </row>
    <row r="55" spans="1:3" x14ac:dyDescent="0.25">
      <c r="A55" s="9" t="s">
        <v>73</v>
      </c>
      <c r="B55" s="2">
        <v>31200</v>
      </c>
      <c r="C55" s="42"/>
    </row>
    <row r="56" spans="1:3" x14ac:dyDescent="0.25">
      <c r="A56" s="10" t="s">
        <v>74</v>
      </c>
      <c r="B56" s="4">
        <v>31220</v>
      </c>
      <c r="C56" s="42"/>
    </row>
    <row r="57" spans="1:3" x14ac:dyDescent="0.25">
      <c r="A57" s="10" t="s">
        <v>75</v>
      </c>
      <c r="B57" s="4">
        <v>31230</v>
      </c>
      <c r="C57" s="42"/>
    </row>
    <row r="58" spans="1:3" x14ac:dyDescent="0.25">
      <c r="A58" s="10" t="s">
        <v>76</v>
      </c>
      <c r="B58" s="4">
        <v>31290</v>
      </c>
      <c r="C58" s="42"/>
    </row>
    <row r="59" spans="1:3" x14ac:dyDescent="0.25">
      <c r="A59" s="9" t="s">
        <v>77</v>
      </c>
      <c r="B59" s="2">
        <v>31300</v>
      </c>
      <c r="C59" s="42"/>
    </row>
    <row r="60" spans="1:3" x14ac:dyDescent="0.25">
      <c r="A60" s="9" t="s">
        <v>78</v>
      </c>
      <c r="B60" s="2">
        <v>31400</v>
      </c>
      <c r="C60" s="42"/>
    </row>
    <row r="61" spans="1:3" x14ac:dyDescent="0.25">
      <c r="A61" s="9" t="s">
        <v>79</v>
      </c>
      <c r="B61" s="2">
        <v>31500</v>
      </c>
      <c r="C61" s="42"/>
    </row>
    <row r="62" spans="1:3" x14ac:dyDescent="0.25">
      <c r="A62" s="9" t="s">
        <v>80</v>
      </c>
      <c r="B62" s="2">
        <v>31600</v>
      </c>
      <c r="C62" s="42"/>
    </row>
    <row r="63" spans="1:3" x14ac:dyDescent="0.25">
      <c r="A63" s="9" t="s">
        <v>81</v>
      </c>
      <c r="B63" s="2">
        <v>31700</v>
      </c>
      <c r="C63" s="42"/>
    </row>
    <row r="64" spans="1:3" x14ac:dyDescent="0.25">
      <c r="A64" s="16" t="s">
        <v>82</v>
      </c>
      <c r="B64" s="17">
        <v>32000</v>
      </c>
      <c r="C64" s="41"/>
    </row>
    <row r="65" spans="1:3" x14ac:dyDescent="0.25">
      <c r="A65" s="9" t="s">
        <v>83</v>
      </c>
      <c r="B65" s="2">
        <v>32100</v>
      </c>
      <c r="C65" s="42"/>
    </row>
    <row r="66" spans="1:3" x14ac:dyDescent="0.25">
      <c r="A66" s="9" t="s">
        <v>84</v>
      </c>
      <c r="B66" s="2">
        <v>32200</v>
      </c>
      <c r="C66" s="42"/>
    </row>
    <row r="67" spans="1:3" x14ac:dyDescent="0.25">
      <c r="A67" s="9" t="s">
        <v>85</v>
      </c>
      <c r="B67" s="2">
        <v>32300</v>
      </c>
      <c r="C67" s="42"/>
    </row>
    <row r="68" spans="1:3" x14ac:dyDescent="0.25">
      <c r="A68" s="10" t="s">
        <v>74</v>
      </c>
      <c r="B68" s="4">
        <v>32320</v>
      </c>
      <c r="C68" s="42"/>
    </row>
    <row r="69" spans="1:3" x14ac:dyDescent="0.25">
      <c r="A69" s="10" t="s">
        <v>75</v>
      </c>
      <c r="B69" s="4">
        <v>32330</v>
      </c>
      <c r="C69" s="42"/>
    </row>
    <row r="70" spans="1:3" x14ac:dyDescent="0.25">
      <c r="A70" s="10" t="s">
        <v>86</v>
      </c>
      <c r="B70" s="4">
        <v>32390</v>
      </c>
      <c r="C70" s="42"/>
    </row>
    <row r="71" spans="1:3" x14ac:dyDescent="0.25">
      <c r="A71" s="9" t="s">
        <v>87</v>
      </c>
      <c r="B71" s="2">
        <v>32400</v>
      </c>
      <c r="C71" s="42"/>
    </row>
    <row r="72" spans="1:3" x14ac:dyDescent="0.25">
      <c r="A72" s="9" t="s">
        <v>88</v>
      </c>
      <c r="B72" s="2">
        <v>32500</v>
      </c>
      <c r="C72" s="42"/>
    </row>
    <row r="73" spans="1:3" x14ac:dyDescent="0.25">
      <c r="A73" s="10" t="s">
        <v>89</v>
      </c>
      <c r="B73" s="4">
        <v>32580</v>
      </c>
      <c r="C73" s="42"/>
    </row>
    <row r="74" spans="1:3" x14ac:dyDescent="0.25">
      <c r="A74" s="11" t="s">
        <v>90</v>
      </c>
      <c r="B74" s="4">
        <v>32581</v>
      </c>
      <c r="C74" s="42"/>
    </row>
    <row r="75" spans="1:3" x14ac:dyDescent="0.25">
      <c r="A75" s="11" t="s">
        <v>91</v>
      </c>
      <c r="B75" s="4">
        <v>32582</v>
      </c>
      <c r="C75" s="42"/>
    </row>
    <row r="76" spans="1:3" x14ac:dyDescent="0.25">
      <c r="A76" s="10" t="s">
        <v>92</v>
      </c>
      <c r="B76" s="4">
        <v>32590</v>
      </c>
      <c r="C76" s="42"/>
    </row>
    <row r="77" spans="1:3" x14ac:dyDescent="0.25">
      <c r="A77" s="9" t="s">
        <v>53</v>
      </c>
      <c r="B77" s="2">
        <v>32600</v>
      </c>
      <c r="C77" s="42"/>
    </row>
    <row r="78" spans="1:3" x14ac:dyDescent="0.25">
      <c r="A78" s="9" t="s">
        <v>93</v>
      </c>
      <c r="B78" s="2">
        <v>32700</v>
      </c>
      <c r="C78" s="42"/>
    </row>
    <row r="79" spans="1:3" x14ac:dyDescent="0.25">
      <c r="A79" s="16" t="s">
        <v>94</v>
      </c>
      <c r="B79" s="17">
        <v>30000</v>
      </c>
      <c r="C79" s="41"/>
    </row>
    <row r="80" spans="1:3" ht="24.95" customHeight="1" x14ac:dyDescent="0.25">
      <c r="A80" s="59" t="s">
        <v>24</v>
      </c>
      <c r="B80" s="59"/>
      <c r="C80" s="59"/>
    </row>
    <row r="81" spans="1:16" ht="15" customHeight="1" x14ac:dyDescent="0.25">
      <c r="A81" s="12" t="s">
        <v>140</v>
      </c>
      <c r="B81" s="2">
        <v>401009</v>
      </c>
      <c r="C81" s="40"/>
      <c r="P81" s="13"/>
    </row>
    <row r="82" spans="1:16" ht="15" customHeight="1" x14ac:dyDescent="0.25">
      <c r="A82" s="12" t="s">
        <v>95</v>
      </c>
      <c r="B82" s="2">
        <v>40100</v>
      </c>
      <c r="C82" s="40"/>
      <c r="P82" s="13"/>
    </row>
    <row r="83" spans="1:16" ht="15" customHeight="1" x14ac:dyDescent="0.25">
      <c r="A83" s="12" t="s">
        <v>0</v>
      </c>
      <c r="B83" s="2">
        <v>40200</v>
      </c>
      <c r="C83" s="40"/>
    </row>
    <row r="84" spans="1:16" ht="15" customHeight="1" x14ac:dyDescent="0.25">
      <c r="A84" s="12" t="s">
        <v>1</v>
      </c>
      <c r="B84" s="2">
        <v>40300</v>
      </c>
      <c r="C84" s="40"/>
    </row>
    <row r="85" spans="1:16" ht="15" customHeight="1" x14ac:dyDescent="0.25">
      <c r="A85" s="12" t="s">
        <v>2</v>
      </c>
      <c r="B85" s="2">
        <v>40400</v>
      </c>
      <c r="C85" s="40"/>
    </row>
    <row r="86" spans="1:16" ht="15" customHeight="1" x14ac:dyDescent="0.25">
      <c r="A86" s="12" t="s">
        <v>3</v>
      </c>
      <c r="B86" s="2">
        <v>40500</v>
      </c>
      <c r="C86" s="40"/>
    </row>
    <row r="87" spans="1:16" ht="15" customHeight="1" x14ac:dyDescent="0.25">
      <c r="A87" s="12" t="s">
        <v>4</v>
      </c>
      <c r="B87" s="2">
        <v>40600</v>
      </c>
      <c r="C87" s="40"/>
    </row>
    <row r="88" spans="1:16" ht="15" customHeight="1" x14ac:dyDescent="0.25">
      <c r="A88" s="12" t="s">
        <v>5</v>
      </c>
      <c r="B88" s="2">
        <v>40700</v>
      </c>
      <c r="C88" s="40"/>
    </row>
    <row r="89" spans="1:16" ht="15" customHeight="1" x14ac:dyDescent="0.25">
      <c r="A89" s="12" t="s">
        <v>6</v>
      </c>
      <c r="B89" s="2">
        <v>40800</v>
      </c>
      <c r="C89" s="40"/>
    </row>
    <row r="90" spans="1:16" ht="15" customHeight="1" x14ac:dyDescent="0.25">
      <c r="A90" s="12" t="s">
        <v>7</v>
      </c>
      <c r="B90" s="2">
        <v>40900</v>
      </c>
      <c r="C90" s="40"/>
    </row>
    <row r="91" spans="1:16" ht="15" customHeight="1" x14ac:dyDescent="0.25">
      <c r="A91" s="12" t="s">
        <v>8</v>
      </c>
      <c r="B91" s="2">
        <v>41000</v>
      </c>
      <c r="C91" s="40"/>
    </row>
    <row r="92" spans="1:16" ht="15" customHeight="1" x14ac:dyDescent="0.25">
      <c r="A92" s="12" t="s">
        <v>9</v>
      </c>
      <c r="B92" s="2">
        <v>41100</v>
      </c>
      <c r="C92" s="40"/>
    </row>
    <row r="93" spans="1:16" ht="15" customHeight="1" x14ac:dyDescent="0.25">
      <c r="A93" s="9" t="s">
        <v>10</v>
      </c>
      <c r="B93" s="2">
        <v>41200</v>
      </c>
      <c r="C93" s="40"/>
    </row>
    <row r="94" spans="1:16" ht="15" customHeight="1" x14ac:dyDescent="0.25">
      <c r="A94" s="12" t="s">
        <v>11</v>
      </c>
      <c r="B94" s="2">
        <v>41300</v>
      </c>
      <c r="C94" s="40"/>
    </row>
    <row r="95" spans="1:16" ht="15" customHeight="1" x14ac:dyDescent="0.25">
      <c r="A95" s="16" t="s">
        <v>12</v>
      </c>
      <c r="B95" s="17">
        <v>49100</v>
      </c>
      <c r="C95" s="39"/>
    </row>
    <row r="96" spans="1:16" ht="15" customHeight="1" x14ac:dyDescent="0.25">
      <c r="A96" s="12" t="s">
        <v>13</v>
      </c>
      <c r="B96" s="2">
        <v>41400</v>
      </c>
      <c r="C96" s="40"/>
    </row>
    <row r="97" spans="1:3" ht="15" customHeight="1" x14ac:dyDescent="0.25">
      <c r="A97" s="14" t="s">
        <v>14</v>
      </c>
      <c r="B97" s="4">
        <v>41430</v>
      </c>
      <c r="C97" s="40"/>
    </row>
    <row r="98" spans="1:3" ht="15" customHeight="1" x14ac:dyDescent="0.25">
      <c r="A98" s="14" t="s">
        <v>15</v>
      </c>
      <c r="B98" s="4">
        <v>41490</v>
      </c>
      <c r="C98" s="40"/>
    </row>
    <row r="99" spans="1:3" ht="15" customHeight="1" x14ac:dyDescent="0.25">
      <c r="A99" s="12" t="s">
        <v>16</v>
      </c>
      <c r="B99" s="2">
        <v>41500</v>
      </c>
      <c r="C99" s="40"/>
    </row>
    <row r="100" spans="1:3" ht="15" customHeight="1" x14ac:dyDescent="0.25">
      <c r="A100" s="12" t="s">
        <v>17</v>
      </c>
      <c r="B100" s="2">
        <v>41600</v>
      </c>
      <c r="C100" s="40"/>
    </row>
    <row r="101" spans="1:3" ht="15" customHeight="1" x14ac:dyDescent="0.25">
      <c r="A101" s="12" t="s">
        <v>18</v>
      </c>
      <c r="B101" s="2">
        <v>41700</v>
      </c>
      <c r="C101" s="40"/>
    </row>
    <row r="102" spans="1:3" ht="15" customHeight="1" x14ac:dyDescent="0.25">
      <c r="A102" s="9" t="s">
        <v>19</v>
      </c>
      <c r="B102" s="2">
        <v>41800</v>
      </c>
      <c r="C102" s="40"/>
    </row>
    <row r="103" spans="1:3" ht="15" customHeight="1" x14ac:dyDescent="0.25">
      <c r="A103" s="9" t="s">
        <v>142</v>
      </c>
      <c r="B103" s="2">
        <v>42100</v>
      </c>
      <c r="C103" s="40"/>
    </row>
    <row r="104" spans="1:3" ht="15" customHeight="1" x14ac:dyDescent="0.25">
      <c r="A104" s="6" t="s">
        <v>20</v>
      </c>
      <c r="B104" s="2">
        <v>49200</v>
      </c>
      <c r="C104" s="40"/>
    </row>
    <row r="105" spans="1:3" ht="15" customHeight="1" x14ac:dyDescent="0.25">
      <c r="A105" s="6" t="s">
        <v>21</v>
      </c>
      <c r="B105" s="2">
        <v>49300</v>
      </c>
      <c r="C105" s="40"/>
    </row>
    <row r="106" spans="1:3" ht="15" customHeight="1" x14ac:dyDescent="0.25">
      <c r="A106" s="12" t="s">
        <v>141</v>
      </c>
      <c r="B106" s="2">
        <v>41900</v>
      </c>
      <c r="C106" s="40"/>
    </row>
    <row r="107" spans="1:3" ht="15" customHeight="1" x14ac:dyDescent="0.25">
      <c r="A107" s="16" t="s">
        <v>22</v>
      </c>
      <c r="B107" s="17">
        <v>49500</v>
      </c>
      <c r="C107" s="39"/>
    </row>
    <row r="111" spans="1:3" x14ac:dyDescent="0.25">
      <c r="A111" s="48"/>
      <c r="B111" s="48"/>
      <c r="C111" s="48"/>
    </row>
    <row r="112" spans="1:3" x14ac:dyDescent="0.25">
      <c r="A112" s="48"/>
      <c r="B112" s="48"/>
      <c r="C112" s="48"/>
    </row>
    <row r="113" spans="1:3" x14ac:dyDescent="0.25">
      <c r="A113" s="48"/>
      <c r="B113" s="48"/>
      <c r="C113" s="48"/>
    </row>
    <row r="114" spans="1:3" x14ac:dyDescent="0.25">
      <c r="A114" s="48"/>
      <c r="B114" s="48"/>
      <c r="C114" s="48"/>
    </row>
    <row r="115" spans="1:3" x14ac:dyDescent="0.25">
      <c r="A115" s="48"/>
      <c r="B115" s="48"/>
      <c r="C115" s="48"/>
    </row>
    <row r="116" spans="1:3" x14ac:dyDescent="0.25">
      <c r="A116" s="48"/>
      <c r="B116" s="48"/>
      <c r="C116" s="48"/>
    </row>
  </sheetData>
  <sheetProtection selectLockedCells="1" pivotTables="0"/>
  <mergeCells count="3">
    <mergeCell ref="A14:C14"/>
    <mergeCell ref="A37:C37"/>
    <mergeCell ref="A80:C80"/>
  </mergeCells>
  <phoneticPr fontId="0" type="noConversion"/>
  <conditionalFormatting sqref="C79">
    <cfRule type="cellIs" dxfId="7" priority="12" stopIfTrue="1" operator="notEqual">
      <formula>$C$36</formula>
    </cfRule>
  </conditionalFormatting>
  <conditionalFormatting sqref="C48">
    <cfRule type="cellIs" dxfId="6" priority="14" stopIfTrue="1" operator="notEqual">
      <formula>$C$107</formula>
    </cfRule>
  </conditionalFormatting>
  <conditionalFormatting sqref="C107">
    <cfRule type="cellIs" dxfId="5" priority="15" stopIfTrue="1" operator="notEqual">
      <formula>$C$48</formula>
    </cfRule>
  </conditionalFormatting>
  <pageMargins left="0.7" right="0.7" top="0.75" bottom="0.75" header="0.3" footer="0.3"/>
  <pageSetup paperSize="9" scale="42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argarInformeXBRL">
                <anchor moveWithCells="1" sizeWithCells="1">
                  <from>
                    <xdr:col>0</xdr:col>
                    <xdr:colOff>647700</xdr:colOff>
                    <xdr:row>5</xdr:row>
                    <xdr:rowOff>9525</xdr:rowOff>
                  </from>
                  <to>
                    <xdr:col>0</xdr:col>
                    <xdr:colOff>2238375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LimpiarFormulario">
                <anchor moveWithCells="1" sizeWithCells="1">
                  <from>
                    <xdr:col>0</xdr:col>
                    <xdr:colOff>647700</xdr:colOff>
                    <xdr:row>8</xdr:row>
                    <xdr:rowOff>123825</xdr:rowOff>
                  </from>
                  <to>
                    <xdr:col>0</xdr:col>
                    <xdr:colOff>2238375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rgb="FFC00000"/>
  </sheetPr>
  <dimension ref="A1:B48"/>
  <sheetViews>
    <sheetView showGridLines="0" zoomScaleNormal="100" workbookViewId="0"/>
  </sheetViews>
  <sheetFormatPr baseColWidth="10" defaultColWidth="11.42578125" defaultRowHeight="12.75" x14ac:dyDescent="0.25"/>
  <cols>
    <col min="1" max="1" width="86.5703125" style="15" bestFit="1" customWidth="1"/>
    <col min="2" max="2" width="11.42578125" style="28"/>
    <col min="3" max="16384" width="11.42578125" style="15"/>
  </cols>
  <sheetData>
    <row r="1" spans="1:2" s="1" customFormat="1" ht="20.100000000000001" customHeight="1" x14ac:dyDescent="0.25">
      <c r="A1" s="24"/>
      <c r="B1" s="26"/>
    </row>
    <row r="2" spans="1:2" s="3" customFormat="1" ht="24" customHeight="1" x14ac:dyDescent="0.3">
      <c r="A2" s="25"/>
      <c r="B2" s="5"/>
    </row>
    <row r="3" spans="1:2" s="3" customFormat="1" ht="12" customHeight="1" x14ac:dyDescent="0.3">
      <c r="A3" s="22"/>
      <c r="B3" s="5"/>
    </row>
    <row r="4" spans="1:2" s="3" customFormat="1" ht="12" customHeight="1" x14ac:dyDescent="0.25">
      <c r="A4" s="22"/>
      <c r="B4" s="5"/>
    </row>
    <row r="5" spans="1:2" s="3" customFormat="1" ht="12" customHeight="1" x14ac:dyDescent="0.25">
      <c r="A5" s="22"/>
      <c r="B5" s="27"/>
    </row>
    <row r="6" spans="1:2" ht="24.95" customHeight="1" x14ac:dyDescent="0.25">
      <c r="A6" s="60" t="s">
        <v>120</v>
      </c>
      <c r="B6" s="54" t="s">
        <v>122</v>
      </c>
    </row>
    <row r="7" spans="1:2" ht="24.95" customHeight="1" x14ac:dyDescent="0.25">
      <c r="A7" s="60"/>
      <c r="B7" s="36" t="str">
        <f>Cuentas!C13</f>
        <v/>
      </c>
    </row>
    <row r="8" spans="1:2" ht="15" customHeight="1" x14ac:dyDescent="0.3">
      <c r="A8" s="61" t="s">
        <v>123</v>
      </c>
      <c r="B8" s="61"/>
    </row>
    <row r="9" spans="1:2" ht="20.100000000000001" customHeight="1" x14ac:dyDescent="0.25">
      <c r="A9" s="19" t="s">
        <v>97</v>
      </c>
      <c r="B9" s="43" t="str">
        <f>IF((Cuentas!C62+Cuentas!C65+Cuentas!C67+Cuentas!C72+Cuentas!C78)&lt;&gt;0,(Cuentas!C22+Cuentas!C23-Cuentas!C24-Cuentas!C30)/(Cuentas!C62+Cuentas!C65+Cuentas!C67+Cuentas!C72+Cuentas!C78),"n.d.")</f>
        <v>n.d.</v>
      </c>
    </row>
    <row r="10" spans="1:2" ht="20.100000000000001" customHeight="1" x14ac:dyDescent="0.25">
      <c r="A10" s="19" t="s">
        <v>98</v>
      </c>
      <c r="B10" s="43" t="str">
        <f>IF((Cuentas!C62+Cuentas!C65+Cuentas!C67+Cuentas!C72+Cuentas!C78)&lt;&gt;0,(Cuentas!C32+Cuentas!C33+Cuentas!C35)/(Cuentas!C62+Cuentas!C65+Cuentas!C67+Cuentas!C72+Cuentas!C78),"n.d.")</f>
        <v>n.d.</v>
      </c>
    </row>
    <row r="11" spans="1:2" ht="20.100000000000001" customHeight="1" x14ac:dyDescent="0.25">
      <c r="A11" s="19" t="s">
        <v>99</v>
      </c>
      <c r="B11" s="43" t="str">
        <f>IF((Cuentas!C15+Cuentas!C23-Cuentas!C30)&lt;&gt;0,(Cuentas!C32+Cuentas!C33+Cuentas!C35)/(Cuentas!C15+Cuentas!C23-Cuentas!C30),"n.d.")</f>
        <v>n.d.</v>
      </c>
    </row>
    <row r="12" spans="1:2" ht="20.100000000000001" customHeight="1" x14ac:dyDescent="0.25">
      <c r="A12" s="19" t="s">
        <v>100</v>
      </c>
      <c r="B12" s="43" t="str">
        <f>IF((Cuentas!C15+Cuentas!C23-Cuentas!C30)&lt;&gt;0,(Cuentas!C22+Cuentas!C23-Cuentas!C24-Cuentas!C30-Cuentas!C62-Cuentas!C65-Cuentas!C67-Cuentas!C72-Cuentas!C78)/(Cuentas!C15+Cuentas!C23-Cuentas!C30),"n.d.")</f>
        <v>n.d.</v>
      </c>
    </row>
    <row r="13" spans="1:2" ht="20.100000000000001" customHeight="1" x14ac:dyDescent="0.25">
      <c r="A13" s="19" t="s">
        <v>101</v>
      </c>
      <c r="B13" s="43" t="str">
        <f>IF((Cuentas!C82)&lt;&gt;0,(Cuentas!C22+Cuentas!C23-Cuentas!C24-Cuentas!C30-Cuentas!C62-Cuentas!C65-Cuentas!C67-Cuentas!C72-Cuentas!C78)/(Cuentas!C82),"n.d.")</f>
        <v>n.d.</v>
      </c>
    </row>
    <row r="14" spans="1:2" ht="20.100000000000001" customHeight="1" x14ac:dyDescent="0.25">
      <c r="A14" s="19" t="s">
        <v>131</v>
      </c>
      <c r="B14" s="43" t="str">
        <f>IF((Cuentas!C82)&lt;&gt;0,(Cuentas!C22+Cuentas!C25+Cuentas!C27-Cuentas!C62-Cuentas!C73)/(Cuentas!C82),"n.d.")</f>
        <v>n.d.</v>
      </c>
    </row>
    <row r="15" spans="1:2" ht="15" customHeight="1" x14ac:dyDescent="0.3">
      <c r="A15" s="61" t="s">
        <v>130</v>
      </c>
      <c r="B15" s="61"/>
    </row>
    <row r="16" spans="1:2" ht="20.100000000000001" customHeight="1" x14ac:dyDescent="0.25">
      <c r="A16" s="19" t="s">
        <v>102</v>
      </c>
      <c r="B16" s="43" t="str">
        <f>IF((Cuentas!C15+Cuentas!C23-Cuentas!C30)&lt;&gt;0,(Cuentas!C55+Cuentas!C59+Cuentas!C62+Cuentas!C63+Cuentas!C65+Cuentas!C67+Cuentas!C72+Cuentas!C78)/(Cuentas!C15+Cuentas!C23-Cuentas!C30),"n.d.")</f>
        <v>n.d.</v>
      </c>
    </row>
    <row r="17" spans="1:2" ht="20.100000000000001" customHeight="1" x14ac:dyDescent="0.25">
      <c r="A17" s="19" t="s">
        <v>134</v>
      </c>
      <c r="B17" s="43" t="str">
        <f>IF((Cuentas!C15+Cuentas!C23-Cuentas!C30)&lt;&gt;0,(Cuentas!C56+Cuentas!C57+Cuentas!C68+Cuentas!C69)/(Cuentas!C15+Cuentas!C23-Cuentas!C30),"n.d.")</f>
        <v>n.d.</v>
      </c>
    </row>
    <row r="18" spans="1:2" ht="20.100000000000001" customHeight="1" x14ac:dyDescent="0.25">
      <c r="A18" s="19" t="s">
        <v>103</v>
      </c>
      <c r="B18" s="43" t="str">
        <f>IF((Cuentas!C55+Cuentas!C59+Cuentas!C62+Cuentas!C63+Cuentas!C65+Cuentas!C67+Cuentas!C72+Cuentas!C78)&lt;&gt;0,(Cuentas!C62+Cuentas!C65+Cuentas!C67+Cuentas!C72+Cuentas!C78)/(Cuentas!C55+Cuentas!C59+Cuentas!C62+Cuentas!C63+Cuentas!C65+Cuentas!C67+Cuentas!C72+Cuentas!C78),"n.d.")</f>
        <v>n.d.</v>
      </c>
    </row>
    <row r="19" spans="1:2" ht="20.100000000000001" customHeight="1" x14ac:dyDescent="0.25">
      <c r="A19" s="56" t="s">
        <v>132</v>
      </c>
      <c r="B19" s="43" t="str">
        <f>IF((Cuentas!C55+Cuentas!C59+Cuentas!C62+Cuentas!C63+Cuentas!C65+Cuentas!C67+Cuentas!C72+Cuentas!C78)&lt;&gt;0,(Cuentas!C56+Cuentas!C57+Cuentas!C68+Cuentas!C69)/(Cuentas!C55+Cuentas!C59+Cuentas!C62+Cuentas!C63+Cuentas!C65+Cuentas!C67+Cuentas!C72+Cuentas!C78),"n.d.")</f>
        <v>n.d.</v>
      </c>
    </row>
    <row r="20" spans="1:2" ht="20.100000000000001" customHeight="1" x14ac:dyDescent="0.25">
      <c r="A20" s="56" t="s">
        <v>104</v>
      </c>
      <c r="B20" s="43" t="str">
        <f>IF((Cuentas!C53-Cuentas!C54+Cuentas!C64-Cuentas!C66-Cuentas!C71-Cuentas!C32-Cuentas!C33-Cuentas!C35)&lt;&gt;0,(Cuentas!C82+Cuentas!C83+Cuentas!C84+Cuentas!C85+Cuentas!C86+Cuentas!C87+Cuentas!C88)/(Cuentas!C53-Cuentas!C54+Cuentas!C64-Cuentas!C66-Cuentas!C71-Cuentas!C32-Cuentas!C33-Cuentas!C35),"n.d.")</f>
        <v>n.d.</v>
      </c>
    </row>
    <row r="21" spans="1:2" ht="20.100000000000001" customHeight="1" x14ac:dyDescent="0.25">
      <c r="A21" s="56" t="s">
        <v>105</v>
      </c>
      <c r="B21" s="43" t="str">
        <f>IF((Cuentas!C82+Cuentas!C83+Cuentas!C84+Cuentas!C85+Cuentas!C86+Cuentas!C87+Cuentas!C88)&lt;&gt;0,(-1*Cuentas!C99)/(Cuentas!C82+Cuentas!C83+Cuentas!C84+Cuentas!C85+Cuentas!C86+Cuentas!C87+Cuentas!C88),"n.d.")</f>
        <v>n.d.</v>
      </c>
    </row>
    <row r="22" spans="1:2" ht="20.100000000000001" customHeight="1" x14ac:dyDescent="0.25">
      <c r="A22" s="56" t="s">
        <v>106</v>
      </c>
      <c r="B22" s="43" t="str">
        <f>IF((Cuentas!C53-Cuentas!C54+Cuentas!C64-Cuentas!C66-Cuentas!C71-Cuentas!C32-Cuentas!C33-Cuentas!C35)&lt;&gt;0,(-1*Cuentas!C99)/(Cuentas!C53-Cuentas!C54+Cuentas!C64-Cuentas!C66-Cuentas!C71-Cuentas!C32-Cuentas!C33-Cuentas!C35),"n.d.")</f>
        <v>n.d.</v>
      </c>
    </row>
    <row r="23" spans="1:2" ht="20.100000000000001" customHeight="1" x14ac:dyDescent="0.25">
      <c r="A23" s="56" t="s">
        <v>133</v>
      </c>
      <c r="B23" s="43" t="str">
        <f>IF((Cuentas!C15+Cuentas!C23-Cuentas!C30)&lt;&gt;0,(Cuentas!C54+Cuentas!C66)/(Cuentas!C15+Cuentas!C23-Cuentas!C30),"n.d.")</f>
        <v>n.d.</v>
      </c>
    </row>
    <row r="24" spans="1:2" ht="15" customHeight="1" x14ac:dyDescent="0.25">
      <c r="A24" s="61" t="s">
        <v>129</v>
      </c>
      <c r="B24" s="61"/>
    </row>
    <row r="25" spans="1:2" ht="20.100000000000001" customHeight="1" x14ac:dyDescent="0.25">
      <c r="A25" s="20" t="s">
        <v>143</v>
      </c>
      <c r="B25" s="43" t="str">
        <f>IF((Cuentas!C15+Cuentas!C23-Cuentas!C30)&lt;&gt;0,(Cuentas!C39+Cuentas!C51+Cuentas!C52-Cuentas!C30)/(Cuentas!C15+Cuentas!C23-Cuentas!C30),"n.d.")</f>
        <v>n.d.</v>
      </c>
    </row>
    <row r="26" spans="1:2" ht="15" customHeight="1" x14ac:dyDescent="0.25">
      <c r="A26" s="61" t="s">
        <v>128</v>
      </c>
      <c r="B26" s="61"/>
    </row>
    <row r="27" spans="1:2" ht="20.100000000000001" customHeight="1" x14ac:dyDescent="0.25">
      <c r="A27" s="19" t="s">
        <v>107</v>
      </c>
      <c r="B27" s="44" t="str">
        <f>IF((Cuentas!C15+Cuentas!C23-Cuentas!C30)&lt;&gt;0,Cuentas!C82/(Cuentas!C15+Cuentas!C23-Cuentas!C30),"n.d.")</f>
        <v>n.d.</v>
      </c>
    </row>
    <row r="28" spans="1:2" ht="20.100000000000001" customHeight="1" x14ac:dyDescent="0.25">
      <c r="A28" s="19" t="s">
        <v>108</v>
      </c>
      <c r="B28" s="43" t="str">
        <f>IF((Cuentas!C15+Cuentas!C23-Cuentas!C30-Cuentas!C22-Cuentas!C23+Cuentas!C24+Cuentas!C30)&lt;&gt;0,Cuentas!C82/(Cuentas!C15+Cuentas!C23-Cuentas!C30-Cuentas!C22-Cuentas!C23+Cuentas!C24+Cuentas!C30),"n.d.")</f>
        <v>n.d.</v>
      </c>
    </row>
    <row r="29" spans="1:2" ht="20.100000000000001" customHeight="1" x14ac:dyDescent="0.25">
      <c r="A29" s="19" t="s">
        <v>109</v>
      </c>
      <c r="B29" s="43" t="str">
        <f>IF((Cuentas!C22+Cuentas!C23-Cuentas!C24-Cuentas!C30)&lt;&gt;0,(Cuentas!C82/(Cuentas!C22+Cuentas!C23-Cuentas!C24-Cuentas!C30)),"n.d.")</f>
        <v>n.d.</v>
      </c>
    </row>
    <row r="30" spans="1:2" ht="20.100000000000001" customHeight="1" x14ac:dyDescent="0.25">
      <c r="A30" s="19" t="s">
        <v>110</v>
      </c>
      <c r="B30" s="43" t="str">
        <f>IF(Cuentas!C25&lt;&gt;0,(Cuentas!C82/Cuentas!C25),"n.d.")</f>
        <v>n.d.</v>
      </c>
    </row>
    <row r="31" spans="1:2" ht="15" customHeight="1" x14ac:dyDescent="0.25">
      <c r="A31" s="61" t="s">
        <v>127</v>
      </c>
      <c r="B31" s="61"/>
    </row>
    <row r="32" spans="1:2" ht="20.100000000000001" customHeight="1" x14ac:dyDescent="0.25">
      <c r="A32" s="19" t="s">
        <v>111</v>
      </c>
      <c r="B32" s="43" t="str">
        <f>IF((Cuentas!C82)&lt;&gt;0,(365*((Cuentas!C22+Cuentas!C27)/(Cuentas!C82))),"n.d.")</f>
        <v>n.d.</v>
      </c>
    </row>
    <row r="33" spans="1:2" ht="20.100000000000001" customHeight="1" x14ac:dyDescent="0.25">
      <c r="A33" s="19" t="s">
        <v>112</v>
      </c>
      <c r="B33" s="43" t="str">
        <f>IF((Cuentas!C22+Cuentas!C27)&lt;&gt;0,(Cuentas!C62+Cuentas!C73)/(Cuentas!C22+Cuentas!C27),"n.d.")</f>
        <v>n.d.</v>
      </c>
    </row>
    <row r="34" spans="1:2" ht="15" customHeight="1" x14ac:dyDescent="0.25">
      <c r="A34" s="61" t="s">
        <v>126</v>
      </c>
      <c r="B34" s="61"/>
    </row>
    <row r="35" spans="1:2" ht="20.100000000000001" customHeight="1" x14ac:dyDescent="0.25">
      <c r="A35" s="19" t="s">
        <v>113</v>
      </c>
      <c r="B35" s="43" t="str">
        <f>IF(Cuentas!C82&lt;&gt;0,((Cuentas!C82+Cuentas!C83+Cuentas!C84+Cuentas!C85+Cuentas!C86+Cuentas!C88)/Cuentas!C82),"n.d.")</f>
        <v>n.d.</v>
      </c>
    </row>
    <row r="36" spans="1:2" ht="20.100000000000001" customHeight="1" x14ac:dyDescent="0.25">
      <c r="A36" s="19" t="s">
        <v>114</v>
      </c>
      <c r="B36" s="43" t="str">
        <f>IF(Cuentas!C82&lt;&gt;0,((Cuentas!C82+Cuentas!C83+Cuentas!C84+Cuentas!C85+Cuentas!C86+Cuentas!C87+Cuentas!C88+Cuentas!C89+Cuentas!C91)/Cuentas!C82),"n.d.")</f>
        <v>n.d.</v>
      </c>
    </row>
    <row r="37" spans="1:2" ht="15" customHeight="1" x14ac:dyDescent="0.25">
      <c r="A37" s="61" t="s">
        <v>125</v>
      </c>
      <c r="B37" s="61"/>
    </row>
    <row r="38" spans="1:2" ht="20.100000000000001" customHeight="1" x14ac:dyDescent="0.25">
      <c r="A38" s="19" t="s">
        <v>115</v>
      </c>
      <c r="B38" s="43" t="str">
        <f>IF((Cuentas!C15+Cuentas!C23-Cuentas!C30)&lt;&gt;0,(Cuentas!C82+Cuentas!C83+Cuentas!C84+Cuentas!C85+Cuentas!C86+Cuentas!C87+Cuentas!C88+Cuentas!C89+Cuentas!C91)/(Cuentas!C15+Cuentas!C23-Cuentas!C30),"n.d.")</f>
        <v>n.d.</v>
      </c>
    </row>
    <row r="39" spans="1:2" ht="20.100000000000001" customHeight="1" x14ac:dyDescent="0.25">
      <c r="A39" s="19" t="s">
        <v>116</v>
      </c>
      <c r="B39" s="43" t="str">
        <f>IF((Cuentas!C39+Cuentas!C51+Cuentas!C52-Cuentas!C30)&lt;&gt;0,Cuentas!C107/(Cuentas!C39+Cuentas!C51+Cuentas!C52-Cuentas!C30),"n.d.")</f>
        <v>n.d.</v>
      </c>
    </row>
    <row r="40" spans="1:2" ht="20.100000000000001" customHeight="1" x14ac:dyDescent="0.25">
      <c r="A40" s="19" t="s">
        <v>117</v>
      </c>
      <c r="B40" s="43" t="str">
        <f>IF((Cuentas!C15+Cuentas!C23-Cuentas!C30)&lt;&gt;0,(Cuentas!C82+Cuentas!C83+Cuentas!C84+Cuentas!C85+Cuentas!C86+Cuentas!C87+Cuentas!C88)/(Cuentas!C15+Cuentas!C23-Cuentas!C30),"n.d.")</f>
        <v>n.d.</v>
      </c>
    </row>
    <row r="41" spans="1:2" ht="20.100000000000001" customHeight="1" x14ac:dyDescent="0.25">
      <c r="A41" s="19" t="s">
        <v>118</v>
      </c>
      <c r="B41" s="43" t="str">
        <f>IF(Cuentas!C82&lt;&gt;0,(Cuentas!C82+Cuentas!C83+Cuentas!C84+Cuentas!C85+Cuentas!C86+Cuentas!C87+Cuentas!C88)/Cuentas!C82,"n.d.")</f>
        <v>n.d.</v>
      </c>
    </row>
    <row r="42" spans="1:2" ht="15" customHeight="1" x14ac:dyDescent="0.25">
      <c r="A42" s="61" t="s">
        <v>139</v>
      </c>
      <c r="B42" s="61"/>
    </row>
    <row r="43" spans="1:2" ht="20.100000000000001" customHeight="1" x14ac:dyDescent="0.25">
      <c r="A43" s="55" t="s">
        <v>135</v>
      </c>
      <c r="B43" s="43" t="str">
        <f>IF(Cuentas!C82&lt;&gt;0,(-1*Cuentas!C87)/Cuentas!C82,"n.d.")</f>
        <v>n.d.</v>
      </c>
    </row>
    <row r="44" spans="1:2" ht="20.100000000000001" customHeight="1" x14ac:dyDescent="0.25">
      <c r="A44" s="55" t="s">
        <v>136</v>
      </c>
      <c r="B44" s="43" t="str">
        <f>IF((Cuentas!C87)&lt;&gt;0,(Cuentas!C82+Cuentas!C83+Cuentas!C84+Cuentas!C85+Cuentas!C86+Cuentas!C87+Cuentas!C88)/(-1*Cuentas!C87),"n.d.")</f>
        <v>n.d.</v>
      </c>
    </row>
    <row r="45" spans="1:2" ht="20.100000000000001" customHeight="1" x14ac:dyDescent="0.25">
      <c r="A45" s="55" t="s">
        <v>137</v>
      </c>
      <c r="B45" s="43" t="str">
        <f>IF((Cuentas!C87)&lt;&gt;0,(Cuentas!C82+Cuentas!C83+Cuentas!C84+Cuentas!C85+Cuentas!C86+Cuentas!C87+Cuentas!C88+Cuentas!C89+Cuentas!C91)/(-1*Cuentas!C87),"n.d.")</f>
        <v>n.d.</v>
      </c>
    </row>
    <row r="46" spans="1:2" ht="20.100000000000001" customHeight="1" x14ac:dyDescent="0.25">
      <c r="A46" s="55" t="s">
        <v>138</v>
      </c>
      <c r="B46" s="43" t="str">
        <f>IF(Cuentas!C87&lt;&gt;0,((Cuentas!C82+Cuentas!C83+Cuentas!C84+Cuentas!C85+Cuentas!C86+Cuentas!C88)/(-1*Cuentas!C87)),"n.d.")</f>
        <v>n.d.</v>
      </c>
    </row>
    <row r="47" spans="1:2" ht="15" customHeight="1" x14ac:dyDescent="0.25">
      <c r="A47" s="61" t="s">
        <v>124</v>
      </c>
      <c r="B47" s="61"/>
    </row>
    <row r="48" spans="1:2" ht="20.100000000000001" customHeight="1" x14ac:dyDescent="0.25">
      <c r="A48" s="21" t="s">
        <v>119</v>
      </c>
      <c r="B48" s="43" t="str">
        <f>IF(Cuentas!C81&lt;&gt;0,100*(Cuentas!C82-Cuentas!C81)/Cuentas!C81,"n.d.")</f>
        <v>n.d.</v>
      </c>
    </row>
  </sheetData>
  <sheetProtection password="DCC4" sheet="1" objects="1" scenarios="1" selectLockedCells="1" selectUnlockedCells="1"/>
  <mergeCells count="10">
    <mergeCell ref="A6:A7"/>
    <mergeCell ref="A34:B34"/>
    <mergeCell ref="A37:B37"/>
    <mergeCell ref="A47:B47"/>
    <mergeCell ref="A8:B8"/>
    <mergeCell ref="A15:B15"/>
    <mergeCell ref="A24:B24"/>
    <mergeCell ref="A26:B26"/>
    <mergeCell ref="A31:B31"/>
    <mergeCell ref="A42:B42"/>
  </mergeCells>
  <conditionalFormatting sqref="A9:B18 A20:B41 A47:B48">
    <cfRule type="cellIs" dxfId="4" priority="7" operator="equal">
      <formula>"n.d."</formula>
    </cfRule>
  </conditionalFormatting>
  <conditionalFormatting sqref="A19:B19">
    <cfRule type="cellIs" dxfId="3" priority="6" operator="equal">
      <formula>"n.d."</formula>
    </cfRule>
  </conditionalFormatting>
  <conditionalFormatting sqref="A23:B23">
    <cfRule type="cellIs" dxfId="2" priority="5" operator="equal">
      <formula>"n.d."</formula>
    </cfRule>
  </conditionalFormatting>
  <conditionalFormatting sqref="A42:B43">
    <cfRule type="cellIs" dxfId="1" priority="4" operator="equal">
      <formula>"n.d."</formula>
    </cfRule>
  </conditionalFormatting>
  <conditionalFormatting sqref="A44:B46">
    <cfRule type="cellIs" dxfId="0" priority="3" operator="equal">
      <formula>"n.d."</formula>
    </cfRule>
  </conditionalFormatting>
  <pageMargins left="0.7" right="0.7" top="0.75" bottom="0.75" header="0.3" footer="0.3"/>
  <pageSetup paperSize="9" scale="60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1"/>
  </sheetPr>
  <dimension ref="A1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Cuentas</vt:lpstr>
      <vt:lpstr>RatiosE</vt:lpstr>
      <vt:lpstr>Cuentas!Área_de_impresión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Iñaki Vazquez</dc:creator>
  <cp:lastModifiedBy>Javier Mora</cp:lastModifiedBy>
  <cp:lastPrinted>2018-11-14T14:58:46Z</cp:lastPrinted>
  <dcterms:created xsi:type="dcterms:W3CDTF">2009-10-15T15:43:20Z</dcterms:created>
  <dcterms:modified xsi:type="dcterms:W3CDTF">2021-04-12T08:19:44Z</dcterms:modified>
</cp:coreProperties>
</file>