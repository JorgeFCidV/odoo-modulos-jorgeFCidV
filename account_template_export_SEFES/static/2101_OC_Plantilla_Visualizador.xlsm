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4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uentas" sheetId="1" state="visible" r:id="rId4"/>
    <sheet name="RatiosE" sheetId="2" state="visible" r:id="rId5"/>
    <sheet name="plantilla" sheetId="3" state="hidden" r:id="rId6"/>
  </sheets>
  <definedNames>
    <definedName function="false" hidden="false" localSheetId="0" name="_xlnm.Print_Area" vbProcedure="false">Cuentas!$A$1:$C$107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<sst xmlns="http://schemas.openxmlformats.org/spreadsheetml/2006/main" count="152" uniqueCount="149">
  <si>
    <t xml:space="preserve">DATOS DE IDENTIFICACIÓN</t>
  </si>
  <si>
    <t xml:space="preserve">Tipo de Formulario</t>
  </si>
  <si>
    <t xml:space="preserve">Actividad Principal</t>
  </si>
  <si>
    <t xml:space="preserve">A03507</t>
  </si>
  <si>
    <t xml:space="preserve">CNAE</t>
  </si>
  <si>
    <t xml:space="preserve">Código Postal</t>
  </si>
  <si>
    <t xml:space="preserve">08018</t>
  </si>
  <si>
    <t xml:space="preserve">Unidades</t>
  </si>
  <si>
    <t xml:space="preserve">Fecha de Inicio</t>
  </si>
  <si>
    <t xml:space="preserve">01/01/2024</t>
  </si>
  <si>
    <t xml:space="preserve">Fecha de Cierre</t>
  </si>
  <si>
    <t xml:space="preserve">31/12/2024</t>
  </si>
  <si>
    <t xml:space="preserve">Personal medio FIJO</t>
  </si>
  <si>
    <t xml:space="preserve">Personal medio NO FIJO</t>
  </si>
  <si>
    <t xml:space="preserve">ACTIVO</t>
  </si>
  <si>
    <t xml:space="preserve">A) ACTIVO NO CORRIENTE</t>
  </si>
  <si>
    <t xml:space="preserve">I. Inmovilizado intangible</t>
  </si>
  <si>
    <t xml:space="preserve">II. Inmovilizado material</t>
  </si>
  <si>
    <t xml:space="preserve">III. Inversiones Inmobiliarias</t>
  </si>
  <si>
    <t xml:space="preserve">IV. Inversiones en empresas del grupo y asociadas a largo plazo</t>
  </si>
  <si>
    <t xml:space="preserve">V. Inversiones financieras a largo plazo</t>
  </si>
  <si>
    <t xml:space="preserve">VI. Activos por impuesto diferido</t>
  </si>
  <si>
    <t xml:space="preserve">VII. Deudores comerciales no corrientes</t>
  </si>
  <si>
    <t xml:space="preserve">B) ACTIVO CORRIENTE</t>
  </si>
  <si>
    <t xml:space="preserve">I. Activos no corrientes mantenidos para la venta</t>
  </si>
  <si>
    <t xml:space="preserve">II. Existencias</t>
  </si>
  <si>
    <t xml:space="preserve">III. Deudores comerciales y otras cuentas a cobrar</t>
  </si>
  <si>
    <t xml:space="preserve">1. Clientes por ventas y prestaciones de servicios</t>
  </si>
  <si>
    <t xml:space="preserve">a) a largo plazo</t>
  </si>
  <si>
    <t xml:space="preserve">b) a corto plazo</t>
  </si>
  <si>
    <t xml:space="preserve">2. Accionistas (socios) por desembolsos exigidos</t>
  </si>
  <si>
    <t xml:space="preserve">3. Otros deudores</t>
  </si>
  <si>
    <t xml:space="preserve">IV. Inversiones en empresas del grupo y asociadas a corto plazo</t>
  </si>
  <si>
    <t xml:space="preserve">V. Inversiones financieras a corto plazo</t>
  </si>
  <si>
    <t xml:space="preserve">VI. Periodificaciones a corto plazo</t>
  </si>
  <si>
    <t xml:space="preserve">VII. Efectivo y otros activos líquidos equivalentes</t>
  </si>
  <si>
    <t xml:space="preserve">TOTAL ACTIVO (A+B)</t>
  </si>
  <si>
    <t xml:space="preserve">PATRIMONIO NETO Y PASIVO</t>
  </si>
  <si>
    <t xml:space="preserve">A) PATRIMONIO NETO</t>
  </si>
  <si>
    <t xml:space="preserve">A-1) Fondos Propios</t>
  </si>
  <si>
    <t xml:space="preserve">I. Capital</t>
  </si>
  <si>
    <t xml:space="preserve">1. Capital escriturado</t>
  </si>
  <si>
    <t xml:space="preserve">2. (Capital no exigido)</t>
  </si>
  <si>
    <t xml:space="preserve">II. Prima de emisión</t>
  </si>
  <si>
    <t xml:space="preserve">III. Reservas</t>
  </si>
  <si>
    <t xml:space="preserve">IV. (Acciones y participaciones en patrimonio propias)</t>
  </si>
  <si>
    <t xml:space="preserve">V. Resultados de ejercicios anteriores</t>
  </si>
  <si>
    <t xml:space="preserve">VI. Otras aportaciones de socios</t>
  </si>
  <si>
    <t xml:space="preserve">VII. Resultado del ejercicio</t>
  </si>
  <si>
    <t xml:space="preserve">VIII. (Dividendo a cuenta)</t>
  </si>
  <si>
    <t xml:space="preserve">IX. Otros instrumentos de patrimonio neto</t>
  </si>
  <si>
    <t xml:space="preserve">A-2) Ajustes en patrimonio neto</t>
  </si>
  <si>
    <t xml:space="preserve">A-3) Subvenciones, donaciones y legados recibidos</t>
  </si>
  <si>
    <t xml:space="preserve">B) PASIVO NO CORRIENTE</t>
  </si>
  <si>
    <t xml:space="preserve">I. Provisiones a largo plazo</t>
  </si>
  <si>
    <t xml:space="preserve">II. Deudas a largo plazo</t>
  </si>
  <si>
    <t xml:space="preserve">1. Deudas con entidades de crédito</t>
  </si>
  <si>
    <t xml:space="preserve">2. Acreedores por arrendamiento financiero</t>
  </si>
  <si>
    <t xml:space="preserve">3. Otras deudas a largo plazo</t>
  </si>
  <si>
    <t xml:space="preserve">III. Deudas con empresas del grupo y asociadas a largo plazo</t>
  </si>
  <si>
    <t xml:space="preserve">IV. Pasivos por impuesto diferido</t>
  </si>
  <si>
    <t xml:space="preserve">V. Periodificaciones a largo plazo</t>
  </si>
  <si>
    <t xml:space="preserve">VI Acreedores comerciales no corrientes</t>
  </si>
  <si>
    <t xml:space="preserve">VII. Deudas con características especiales a largo plazo</t>
  </si>
  <si>
    <t xml:space="preserve">C) PASIVO CORRIENTE</t>
  </si>
  <si>
    <t xml:space="preserve">I. Pasivos vinculados con activos no corrientes mantenidos para la venta</t>
  </si>
  <si>
    <t xml:space="preserve">II. Provisiones a corto plazo</t>
  </si>
  <si>
    <t xml:space="preserve">III. Deudas a corto plazo</t>
  </si>
  <si>
    <t xml:space="preserve">3. Otras deudas a corto plazo</t>
  </si>
  <si>
    <t xml:space="preserve">IV. Deudas con empresas del grupo y asociadas a corto plazo</t>
  </si>
  <si>
    <t xml:space="preserve">V. Acreedores comerciales y otras cuentas a pagar</t>
  </si>
  <si>
    <t xml:space="preserve">1. Proveedores</t>
  </si>
  <si>
    <t xml:space="preserve">a) Proveedores a largo plazo</t>
  </si>
  <si>
    <t xml:space="preserve">b) Proveedores a corto plazo</t>
  </si>
  <si>
    <t xml:space="preserve">2. Otros acreedores</t>
  </si>
  <si>
    <t xml:space="preserve">VII. Deudas con características especiales a corto plazo</t>
  </si>
  <si>
    <t xml:space="preserve">TOTAL PATRIMONIO NETO Y PASIVO (A+B+C)</t>
  </si>
  <si>
    <t xml:space="preserve">PÉRDIDAS Y GANANCIAS</t>
  </si>
  <si>
    <t xml:space="preserve">0. Importe neto de la cifra de negocios (ejercicio anterior)</t>
  </si>
  <si>
    <t xml:space="preserve">1. Importe neto de la cifra de negocios</t>
  </si>
  <si>
    <t xml:space="preserve">2. Variación de existencias de PPTT y en curso de fabricación</t>
  </si>
  <si>
    <t xml:space="preserve">3. Trabajos realizados por la empresa para su activo</t>
  </si>
  <si>
    <t xml:space="preserve">4. Aprovisionamientos</t>
  </si>
  <si>
    <t xml:space="preserve">5. Otros ingresos de explotación</t>
  </si>
  <si>
    <t xml:space="preserve">6. Gastos de personal</t>
  </si>
  <si>
    <t xml:space="preserve">7. Otros gastos de explotación</t>
  </si>
  <si>
    <t xml:space="preserve">8. Amortización del inmovilizado</t>
  </si>
  <si>
    <t xml:space="preserve">9. Imputación de subvenciones de inmovilizados no fin. y otras</t>
  </si>
  <si>
    <t xml:space="preserve">10. Exceso de provisiones</t>
  </si>
  <si>
    <t xml:space="preserve">11. Deterioro y resultado por enajenaciones inmovilizado</t>
  </si>
  <si>
    <t xml:space="preserve">12. Diferencia negativa de combinaciones de negocio</t>
  </si>
  <si>
    <t xml:space="preserve">13. Otros Resultados</t>
  </si>
  <si>
    <t xml:space="preserve">A) RESULTADO DE EXPLOTACIÓN (1+2+3+4+5+6+7+8+9+10+11+12+13)</t>
  </si>
  <si>
    <t xml:space="preserve">14. Ingresos financieros</t>
  </si>
  <si>
    <t xml:space="preserve">a) Imputación sub., dona., y legados de carácter financiero</t>
  </si>
  <si>
    <t xml:space="preserve">b) Otros ingresos financieros</t>
  </si>
  <si>
    <t xml:space="preserve">15. Gastos financieros</t>
  </si>
  <si>
    <t xml:space="preserve">16. Variación de valor razonable en instrumentos financieros</t>
  </si>
  <si>
    <t xml:space="preserve">17. Diferencias de cambio</t>
  </si>
  <si>
    <t xml:space="preserve">18. Deterioro y resultado por enajenaciones de instrumentos financieros</t>
  </si>
  <si>
    <t xml:space="preserve">19. Otros ingresos y gastos de carácter financiero</t>
  </si>
  <si>
    <t xml:space="preserve">B) RESULTADO FINANCIERO (14+15+16+17+18)</t>
  </si>
  <si>
    <t xml:space="preserve">C) RESULTADO ANTES DE IMPUESTOS (A+B)</t>
  </si>
  <si>
    <t xml:space="preserve">20. Impuesto sobre beneficios</t>
  </si>
  <si>
    <t xml:space="preserve">D) RESULTADO DEL EJERCICIO (C+19)</t>
  </si>
  <si>
    <t xml:space="preserve">RATIOS</t>
  </si>
  <si>
    <t xml:space="preserve">VALOR</t>
  </si>
  <si>
    <t xml:space="preserve">LIQUIDEZ</t>
  </si>
  <si>
    <t xml:space="preserve">Activo corriente / Deudas a corto plazo</t>
  </si>
  <si>
    <t xml:space="preserve">(Realizable + Disponible) / Deudas a corto plazo</t>
  </si>
  <si>
    <t xml:space="preserve">(Realizable + Disponible) / Total activo</t>
  </si>
  <si>
    <t xml:space="preserve">(Activo corriente - Deudas a corto plazo) / Total activo </t>
  </si>
  <si>
    <t xml:space="preserve">(Activo corriente - Deudas a corto plazo) / Cifra neta de negocios</t>
  </si>
  <si>
    <t xml:space="preserve">Capital circulante comercial / Cifra neta de negocios</t>
  </si>
  <si>
    <t xml:space="preserve">ENDEUDAMIENTO</t>
  </si>
  <si>
    <t xml:space="preserve">Deudas totales / Total activo</t>
  </si>
  <si>
    <t xml:space="preserve">Deudas con entidades de crédito / Total patrimonio neto y pasivo</t>
  </si>
  <si>
    <t xml:space="preserve">Deudas a corto plazo / Deudas totales</t>
  </si>
  <si>
    <t xml:space="preserve">Deudas con entidades de crédito / Deudas totales</t>
  </si>
  <si>
    <t xml:space="preserve">Capacidad devolución préstamos (Resultado económico bruto / Deuda neta total) </t>
  </si>
  <si>
    <t xml:space="preserve">Cobertura de gastos financieros (Gastos financieros y asimilados / Resultado económico bruto)</t>
  </si>
  <si>
    <t xml:space="preserve">Coste de la deuda (Gastos financieros y asimilados / Deuda neta total) </t>
  </si>
  <si>
    <t xml:space="preserve">Provisiones para riesgos y gastos / Total  patrimonio neto y pasivo</t>
  </si>
  <si>
    <t xml:space="preserve">SOLVENCIA</t>
  </si>
  <si>
    <t xml:space="preserve">Patrimonio Neto / Total patrimonio neto y pasivo</t>
  </si>
  <si>
    <t xml:space="preserve">GESTIÓN DE ACTIVOS</t>
  </si>
  <si>
    <t xml:space="preserve">Rotación del activo (Cifra neta de negocios / Total activo) </t>
  </si>
  <si>
    <t xml:space="preserve">Rotación del activo no corriente (Cifra neta de negocios / Activo no corriente) </t>
  </si>
  <si>
    <t xml:space="preserve">Rotación del activo corriente (Cifra neta de negocios / Activo corriente) </t>
  </si>
  <si>
    <t xml:space="preserve">Rotación de stocks (Cifra neta de negocios / Existencias) </t>
  </si>
  <si>
    <t xml:space="preserve">PLAZOS</t>
  </si>
  <si>
    <t xml:space="preserve">Cobro ((Deudores comerciales / Cifra neta de negocios)x365) </t>
  </si>
  <si>
    <t xml:space="preserve">Financiación de clientes por acreedores comerciales (Acreedores comerciales / Deudores comerciales) </t>
  </si>
  <si>
    <t xml:space="preserve">MARGEN</t>
  </si>
  <si>
    <t xml:space="preserve">VAB / Cifra neta de negocios</t>
  </si>
  <si>
    <t xml:space="preserve">Resultado económico neto / Cifra neta de negocios</t>
  </si>
  <si>
    <t xml:space="preserve">RENTABILIDAD Y AUTOFINANCIACIÓN</t>
  </si>
  <si>
    <t xml:space="preserve">Rentabilidad económica (Resultado económico neto / Total activo) </t>
  </si>
  <si>
    <t xml:space="preserve">Rentabilidad financiera (Resultado del ejercicio / Total Patrimonio Neto) </t>
  </si>
  <si>
    <t xml:space="preserve">Resultado económico bruto / Total Activo</t>
  </si>
  <si>
    <t xml:space="preserve">Resultado económico bruto / Cifra neta de negocios</t>
  </si>
  <si>
    <t xml:space="preserve">PERSONAL</t>
  </si>
  <si>
    <t xml:space="preserve">Gastos de personal / Cifra neta de negocios</t>
  </si>
  <si>
    <t xml:space="preserve">Resultado económico bruto / Gastos de personal</t>
  </si>
  <si>
    <t xml:space="preserve">Resultado económico neto / Gastos de personal</t>
  </si>
  <si>
    <t xml:space="preserve">Valor Añadido / Gastos de personal</t>
  </si>
  <si>
    <t xml:space="preserve">CIFRA DE NEGOCIOS</t>
  </si>
  <si>
    <t xml:space="preserve">T1. Tasa de variación de la cifra neta de negocios</t>
  </si>
  <si>
    <t xml:space="preserve">2101_OC_Plantilla_Visualizador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</si>
</sst>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#,##0.00"/>
    <numFmt numFmtId="168" formatCode="0.00"/>
    <numFmt numFmtId="169" formatCode="_-* #,##0.00&quot; €&quot;_-;\-* #,##0.00&quot; €&quot;_-;_-* \-??&quot; €&quot;_-;_-@_-"/>
    <numFmt numFmtId="170" formatCode="#,##0.00_ ;\-#,##0.00\ "/>
  </numFmts>
  <fonts count="3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6100"/>
      <name val="Calibri"/>
      <family val="2"/>
      <charset val="1"/>
    </font>
    <font>
      <b val="true"/>
      <sz val="11"/>
      <color theme="0"/>
      <name val="Calibri"/>
      <family val="2"/>
      <charset val="1"/>
    </font>
    <font>
      <sz val="11"/>
      <color rgb="FFFA7D00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sz val="11"/>
      <color rgb="FF3F3F76"/>
      <name val="Calibri"/>
      <family val="2"/>
      <charset val="1"/>
    </font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b val="true"/>
      <sz val="10"/>
      <color rgb="FF800000"/>
      <name val="Calibri"/>
      <family val="2"/>
      <charset val="1"/>
    </font>
    <font>
      <b val="true"/>
      <sz val="12"/>
      <color theme="0"/>
      <name val="Calibri"/>
      <family val="2"/>
      <charset val="1"/>
    </font>
    <font>
      <sz val="10"/>
      <color rgb="FF7F7F7F"/>
      <name val="Calibri"/>
      <family val="2"/>
      <charset val="1"/>
    </font>
    <font>
      <b val="true"/>
      <sz val="9"/>
      <color rgb="FF7F7F7F"/>
      <name val="Calibri"/>
      <family val="2"/>
      <charset val="1"/>
    </font>
    <font>
      <sz val="9"/>
      <color rgb="FF7F7F7F"/>
      <name val="Calibri"/>
      <family val="2"/>
      <charset val="1"/>
    </font>
    <font>
      <b val="true"/>
      <sz val="10"/>
      <color rgb="FFC00000"/>
      <name val="Calibri"/>
      <family val="2"/>
      <charset val="1"/>
    </font>
    <font>
      <sz val="10"/>
      <color rgb="FFE52B37"/>
      <name val="Calibri"/>
      <family val="2"/>
      <charset val="1"/>
    </font>
    <font>
      <b val="true"/>
      <sz val="9"/>
      <color rgb="FFE52B37"/>
      <name val="Calibri"/>
      <family val="2"/>
      <charset val="1"/>
    </font>
    <font>
      <sz val="10"/>
      <name val="Calibri"/>
      <family val="2"/>
      <charset val="1"/>
    </font>
    <font>
      <b val="true"/>
      <sz val="9"/>
      <name val="Calibri"/>
      <family val="2"/>
      <charset val="1"/>
    </font>
    <font>
      <sz val="9"/>
      <name val="Calibri"/>
      <family val="2"/>
      <charset val="1"/>
    </font>
    <font>
      <b val="true"/>
      <sz val="10"/>
      <name val="Calibri"/>
      <family val="2"/>
      <charset val="1"/>
    </font>
    <font>
      <b val="true"/>
      <sz val="16"/>
      <color rgb="FFFFFFFF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0"/>
      <charset val="1"/>
    </font>
    <font>
      <sz val="10"/>
      <color theme="1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b val="true"/>
      <sz val="10"/>
      <color theme="0"/>
      <name val="Calibri"/>
      <family val="2"/>
      <charset val="1"/>
    </font>
    <font>
      <sz val="9"/>
      <color theme="1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C6EFCE"/>
        <bgColor rgb="FFD9D9D9"/>
      </patternFill>
    </fill>
    <fill>
      <patternFill patternType="solid">
        <fgColor rgb="FFA5A5A5"/>
        <bgColor rgb="FFB2B2B2"/>
      </patternFill>
    </fill>
    <fill>
      <patternFill patternType="solid">
        <fgColor rgb="FFFFCC99"/>
        <bgColor rgb="FFD9D9D9"/>
      </patternFill>
    </fill>
    <fill>
      <patternFill patternType="solid">
        <fgColor rgb="FFFFFFCC"/>
        <bgColor rgb="FFFFFFFF"/>
      </patternFill>
    </fill>
    <fill>
      <patternFill patternType="solid">
        <fgColor rgb="FFFFFFFF"/>
        <bgColor rgb="FFFFFFCC"/>
      </patternFill>
    </fill>
    <fill>
      <patternFill patternType="solid">
        <fgColor rgb="FFE52B37"/>
        <bgColor rgb="FFFF0000"/>
      </patternFill>
    </fill>
    <fill>
      <patternFill patternType="solid">
        <fgColor rgb="FF7F7F7F"/>
        <bgColor rgb="FF666699"/>
      </patternFill>
    </fill>
    <fill>
      <patternFill patternType="solid">
        <fgColor theme="0" tint="-0.15"/>
        <bgColor rgb="FFC6EFCE"/>
      </patternFill>
    </fill>
    <fill>
      <patternFill patternType="solid">
        <fgColor rgb="FFFFA500"/>
        <bgColor rgb="FFFF8001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false" diagonalDown="false">
      <left/>
      <right/>
      <top/>
      <bottom style="double">
        <color rgb="FFFF8001"/>
      </bottom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6" fillId="0" borderId="2" applyFont="true" applyBorder="true" applyAlignment="true" applyProtection="false">
      <alignment horizontal="general" vertical="bottom" textRotation="0" wrapText="false" indent="0" shrinkToFit="false"/>
    </xf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8" fillId="4" borderId="3" applyFont="true" applyBorder="true" applyAlignment="true" applyProtection="false">
      <alignment horizontal="general" vertical="bottom" textRotation="0" wrapText="false" indent="0" shrinkToFit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4" applyFont="true" applyBorder="true" applyAlignment="true" applyProtection="false">
      <alignment horizontal="general" vertical="bottom" textRotation="0" wrapText="false" indent="0" shrinkToFit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6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4" fillId="6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3" fillId="6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4" fillId="6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4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15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5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6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7" fillId="6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8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8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9" fillId="6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20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2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23" fillId="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9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24" fillId="1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25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26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6" borderId="0" xfId="0" applyFont="true" applyBorder="false" applyAlignment="true" applyProtection="false">
      <alignment horizontal="left" vertical="center" textRotation="0" wrapText="false" indent="1" shrinkToFit="false"/>
      <protection locked="true" hidden="false"/>
    </xf>
    <xf numFmtId="164" fontId="22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70" fontId="27" fillId="6" borderId="0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7" fillId="6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4" fontId="27" fillId="6" borderId="0" xfId="0" applyFont="true" applyBorder="false" applyAlignment="true" applyProtection="false">
      <alignment horizontal="left" vertical="center" textRotation="0" wrapText="false" indent="3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3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7" fontId="2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2" fillId="6" borderId="0" xfId="0" applyFont="true" applyBorder="false" applyAlignment="true" applyProtection="false">
      <alignment horizontal="left" vertical="center" textRotation="0" wrapText="true" indent="1" shrinkToFit="false"/>
      <protection locked="true" hidden="false"/>
    </xf>
    <xf numFmtId="167" fontId="28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6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7" fontId="27" fillId="6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6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6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31" fillId="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2" fillId="8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9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8" fontId="3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4" fontId="30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4" fontId="30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uena" xfId="20"/>
    <cellStyle name="Celda de comprobación" xfId="21"/>
    <cellStyle name="Celda vinculada" xfId="22"/>
    <cellStyle name="Encabezado 4" xfId="23"/>
    <cellStyle name="Entrada" xfId="24"/>
    <cellStyle name="Normal 2" xfId="25"/>
    <cellStyle name="Notas" xfId="26"/>
    <cellStyle name="Texto de advertencia" xfId="27"/>
  </cellStyles>
  <dxfs count="7">
    <dxf>
      <fill>
        <patternFill patternType="solid">
          <fgColor rgb="FFFFFFFF"/>
          <bgColor rgb="FF000000"/>
        </patternFill>
      </fill>
    </dxf>
    <dxf>
      <fill>
        <patternFill patternType="solid">
          <fgColor rgb="FF7F7F7F"/>
          <bgColor rgb="FF000000"/>
        </patternFill>
      </fill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2B2B2"/>
      <rgbColor rgb="FF7F7F7F"/>
      <rgbColor rgb="FF9999FF"/>
      <rgbColor rgb="FFE52B37"/>
      <rgbColor rgb="FFFFFFCC"/>
      <rgbColor rgb="FFCCFFFF"/>
      <rgbColor rgb="FF660066"/>
      <rgbColor rgb="FFFF8001"/>
      <rgbColor rgb="FF0066CC"/>
      <rgbColor rgb="FFD9D9D9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A500"/>
      <rgbColor rgb="FFFA7D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F3F76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690120</xdr:colOff>
      <xdr:row>0</xdr:row>
      <xdr:rowOff>62640</xdr:rowOff>
    </xdr:from>
    <xdr:to>
      <xdr:col>0</xdr:col>
      <xdr:colOff>2167200</xdr:colOff>
      <xdr:row>4</xdr:row>
      <xdr:rowOff>110160</xdr:rowOff>
    </xdr:to>
    <xdr:pic>
      <xdr:nvPicPr>
        <xdr:cNvPr id="0" name="1 Imagen" descr=""/>
        <xdr:cNvPicPr/>
      </xdr:nvPicPr>
      <xdr:blipFill>
        <a:blip r:embed="rId1"/>
        <a:stretch/>
      </xdr:blipFill>
      <xdr:spPr>
        <a:xfrm>
          <a:off x="690120" y="62640"/>
          <a:ext cx="1477080" cy="904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5" descr="Cargar informe XBR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Cargar informe XBRL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30" descr="Limpiar formulari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Limpiar formulario</a:t>
              </a:r>
            </a:p>
          </xdr:txBody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807840</xdr:colOff>
      <xdr:row>0</xdr:row>
      <xdr:rowOff>114480</xdr:rowOff>
    </xdr:from>
    <xdr:to>
      <xdr:col>0</xdr:col>
      <xdr:colOff>2082960</xdr:colOff>
      <xdr:row>4</xdr:row>
      <xdr:rowOff>37080</xdr:rowOff>
    </xdr:to>
    <xdr:pic>
      <xdr:nvPicPr>
        <xdr:cNvPr id="1" name="2 Imagen" descr=""/>
        <xdr:cNvPicPr/>
      </xdr:nvPicPr>
      <xdr:blipFill>
        <a:blip r:embed="rId1"/>
        <a:stretch/>
      </xdr:blipFill>
      <xdr:spPr>
        <a:xfrm>
          <a:off x="807840" y="114480"/>
          <a:ext cx="1275120" cy="77976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00000"/>
    <pageSetUpPr fitToPage="true"/>
  </sheetPr>
  <dimension ref="A1:AC116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25" workbookViewId="0">
      <pane xSplit="0" ySplit="13" topLeftCell="A80" activePane="bottomLeft" state="frozen"/>
      <selection pane="topLeft" activeCell="A1" activeCellId="0" sqref="A1"/>
      <selection pane="bottomLeft" activeCell="C12" activeCellId="0" sqref="C12"/>
    </sheetView>
  </sheetViews>
  <sheetFormatPr defaultColWidth="11.4296875" defaultRowHeight="15" zeroHeight="false" outlineLevelRow="0" outlineLevelCol="0"/>
  <cols>
    <col collapsed="false" customWidth="true" hidden="false" outlineLevel="0" max="1" min="1" style="1" width="69.57"/>
    <col collapsed="false" customWidth="false" hidden="false" outlineLevel="0" max="2" min="2" style="1" width="11.43"/>
    <col collapsed="false" customWidth="true" hidden="false" outlineLevel="0" max="3" min="3" style="1" width="36.57"/>
    <col collapsed="false" customWidth="false" hidden="false" outlineLevel="0" max="16384" min="4" style="1" width="11.43"/>
  </cols>
  <sheetData>
    <row r="1" s="3" customFormat="true" ht="19.5" hidden="false" customHeight="true" outlineLevel="0" collapsed="false">
      <c r="A1" s="2"/>
      <c r="C1" s="4" t="s">
        <v>0</v>
      </c>
    </row>
    <row r="2" customFormat="false" ht="24" hidden="false" customHeight="true" outlineLevel="0" collapsed="false">
      <c r="A2" s="5"/>
      <c r="B2" s="6"/>
      <c r="C2" s="7"/>
    </row>
    <row r="3" customFormat="false" ht="12" hidden="false" customHeight="true" outlineLevel="0" collapsed="false">
      <c r="A3" s="8" t="s">
        <v>1</v>
      </c>
      <c r="B3" s="9"/>
      <c r="C3" s="10"/>
    </row>
    <row r="4" customFormat="false" ht="12" hidden="false" customHeight="true" outlineLevel="0" collapsed="false">
      <c r="A4" s="8"/>
      <c r="B4" s="9"/>
      <c r="C4" s="11"/>
    </row>
    <row r="5" customFormat="false" ht="12" hidden="false" customHeight="true" outlineLevel="0" collapsed="false">
      <c r="A5" s="8" t="s">
        <v>2</v>
      </c>
      <c r="B5" s="9" t="n">
        <v>2009</v>
      </c>
      <c r="C5" s="12" t="s">
        <v>3</v>
      </c>
    </row>
    <row r="6" customFormat="false" ht="12" hidden="false" customHeight="true" outlineLevel="0" collapsed="false">
      <c r="A6" s="8" t="s">
        <v>4</v>
      </c>
      <c r="B6" s="9" t="n">
        <v>2001</v>
      </c>
      <c r="C6" s="13" t="n">
        <v>4399</v>
      </c>
    </row>
    <row r="7" customFormat="false" ht="12" hidden="false" customHeight="true" outlineLevel="0" collapsed="false">
      <c r="A7" s="8" t="s">
        <v>5</v>
      </c>
      <c r="B7" s="9" t="n">
        <v>1024</v>
      </c>
      <c r="C7" s="12" t="s">
        <v>6</v>
      </c>
    </row>
    <row r="8" customFormat="false" ht="12" hidden="false" customHeight="true" outlineLevel="0" collapsed="false">
      <c r="A8" s="8" t="s">
        <v>7</v>
      </c>
      <c r="B8" s="14"/>
      <c r="C8" s="12"/>
    </row>
    <row r="9" customFormat="false" ht="12" hidden="false" customHeight="true" outlineLevel="0" collapsed="false">
      <c r="A9" s="15" t="s">
        <v>8</v>
      </c>
      <c r="B9" s="16" t="n">
        <v>1102</v>
      </c>
      <c r="C9" s="17" t="s">
        <v>9</v>
      </c>
    </row>
    <row r="10" customFormat="false" ht="12" hidden="false" customHeight="true" outlineLevel="0" collapsed="false">
      <c r="A10" s="15" t="s">
        <v>10</v>
      </c>
      <c r="B10" s="16" t="n">
        <v>1101</v>
      </c>
      <c r="C10" s="17" t="s">
        <v>11</v>
      </c>
    </row>
    <row r="11" customFormat="false" ht="12" hidden="false" customHeight="true" outlineLevel="0" collapsed="false">
      <c r="A11" s="18" t="s">
        <v>12</v>
      </c>
      <c r="B11" s="19" t="n">
        <v>4001</v>
      </c>
      <c r="C11" s="20" t="n">
        <v>9</v>
      </c>
    </row>
    <row r="12" customFormat="false" ht="12" hidden="false" customHeight="true" outlineLevel="0" collapsed="false">
      <c r="A12" s="18" t="s">
        <v>13</v>
      </c>
      <c r="B12" s="19" t="n">
        <v>4002</v>
      </c>
      <c r="C12" s="20" t="n">
        <v>14</v>
      </c>
    </row>
    <row r="13" customFormat="false" ht="24.75" hidden="false" customHeight="true" outlineLevel="0" collapsed="false">
      <c r="A13" s="21"/>
      <c r="B13" s="22"/>
      <c r="C13" s="23" t="n">
        <f aca="false">IF(C10&lt;&gt;0,YEAR(C10),"")</f>
        <v>2024</v>
      </c>
    </row>
    <row r="14" customFormat="false" ht="24.75" hidden="false" customHeight="true" outlineLevel="0" collapsed="false">
      <c r="A14" s="24" t="s">
        <v>14</v>
      </c>
      <c r="B14" s="24"/>
      <c r="C14" s="24"/>
    </row>
    <row r="15" customFormat="false" ht="15" hidden="false" customHeight="false" outlineLevel="0" collapsed="false">
      <c r="A15" s="25" t="s">
        <v>15</v>
      </c>
      <c r="B15" s="26" t="n">
        <v>11000</v>
      </c>
      <c r="C15" s="27" t="n">
        <v>315481.46</v>
      </c>
      <c r="D15" s="28"/>
      <c r="E15" s="28"/>
      <c r="F15" s="28"/>
      <c r="G15" s="28"/>
      <c r="H15" s="28"/>
      <c r="I15" s="28"/>
      <c r="J15" s="28"/>
      <c r="K15" s="28"/>
      <c r="L15" s="28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customFormat="false" ht="15" hidden="false" customHeight="false" outlineLevel="0" collapsed="false">
      <c r="A16" s="30" t="s">
        <v>16</v>
      </c>
      <c r="B16" s="31" t="n">
        <v>11100</v>
      </c>
      <c r="C16" s="32" t="n">
        <v>4005.84</v>
      </c>
    </row>
    <row r="17" customFormat="false" ht="15" hidden="false" customHeight="false" outlineLevel="0" collapsed="false">
      <c r="A17" s="30" t="s">
        <v>17</v>
      </c>
      <c r="B17" s="31" t="n">
        <v>11200</v>
      </c>
      <c r="C17" s="32" t="n">
        <v>310625.62</v>
      </c>
    </row>
    <row r="18" customFormat="false" ht="15" hidden="false" customHeight="false" outlineLevel="0" collapsed="false">
      <c r="A18" s="30" t="s">
        <v>18</v>
      </c>
      <c r="B18" s="31" t="n">
        <v>11300</v>
      </c>
      <c r="C18" s="33"/>
    </row>
    <row r="19" customFormat="false" ht="15" hidden="false" customHeight="false" outlineLevel="0" collapsed="false">
      <c r="A19" s="30" t="s">
        <v>19</v>
      </c>
      <c r="B19" s="31" t="n">
        <v>11400</v>
      </c>
      <c r="C19" s="32" t="n">
        <v>850</v>
      </c>
    </row>
    <row r="20" customFormat="false" ht="15" hidden="false" customHeight="false" outlineLevel="0" collapsed="false">
      <c r="A20" s="30" t="s">
        <v>20</v>
      </c>
      <c r="B20" s="31" t="n">
        <v>11500</v>
      </c>
      <c r="C20" s="34"/>
    </row>
    <row r="21" customFormat="false" ht="15" hidden="false" customHeight="false" outlineLevel="0" collapsed="false">
      <c r="A21" s="30" t="s">
        <v>21</v>
      </c>
      <c r="B21" s="31" t="n">
        <v>11600</v>
      </c>
      <c r="C21" s="34"/>
    </row>
    <row r="22" customFormat="false" ht="15" hidden="false" customHeight="false" outlineLevel="0" collapsed="false">
      <c r="A22" s="30" t="s">
        <v>22</v>
      </c>
      <c r="B22" s="31" t="n">
        <v>11700</v>
      </c>
      <c r="C22" s="34"/>
    </row>
    <row r="23" customFormat="false" ht="15" hidden="false" customHeight="false" outlineLevel="0" collapsed="false">
      <c r="A23" s="25" t="s">
        <v>23</v>
      </c>
      <c r="B23" s="26" t="n">
        <v>12000</v>
      </c>
      <c r="C23" s="27" t="n">
        <v>1939988.29</v>
      </c>
    </row>
    <row r="24" customFormat="false" ht="15" hidden="false" customHeight="false" outlineLevel="0" collapsed="false">
      <c r="A24" s="30" t="s">
        <v>24</v>
      </c>
      <c r="B24" s="31" t="n">
        <v>12100</v>
      </c>
      <c r="C24" s="33"/>
    </row>
    <row r="25" customFormat="false" ht="15" hidden="false" customHeight="false" outlineLevel="0" collapsed="false">
      <c r="A25" s="30" t="s">
        <v>25</v>
      </c>
      <c r="B25" s="31" t="n">
        <v>12200</v>
      </c>
      <c r="C25" s="32" t="n">
        <v>0</v>
      </c>
    </row>
    <row r="26" customFormat="false" ht="15" hidden="false" customHeight="false" outlineLevel="0" collapsed="false">
      <c r="A26" s="30" t="s">
        <v>26</v>
      </c>
      <c r="B26" s="31" t="n">
        <v>12300</v>
      </c>
      <c r="C26" s="32" t="n">
        <v>1048443.88</v>
      </c>
    </row>
    <row r="27" customFormat="false" ht="15" hidden="false" customHeight="false" outlineLevel="0" collapsed="false">
      <c r="A27" s="35" t="s">
        <v>27</v>
      </c>
      <c r="B27" s="22" t="n">
        <v>12380</v>
      </c>
      <c r="C27" s="32" t="n">
        <v>864378.89</v>
      </c>
    </row>
    <row r="28" customFormat="false" ht="15" hidden="false" customHeight="false" outlineLevel="0" collapsed="false">
      <c r="A28" s="36" t="s">
        <v>28</v>
      </c>
      <c r="B28" s="22" t="n">
        <v>12381</v>
      </c>
      <c r="C28" s="37"/>
    </row>
    <row r="29" customFormat="false" ht="15" hidden="false" customHeight="false" outlineLevel="0" collapsed="false">
      <c r="A29" s="36" t="s">
        <v>29</v>
      </c>
      <c r="B29" s="22" t="n">
        <v>12382</v>
      </c>
      <c r="C29" s="37"/>
    </row>
    <row r="30" customFormat="false" ht="15" hidden="false" customHeight="false" outlineLevel="0" collapsed="false">
      <c r="A30" s="35" t="s">
        <v>30</v>
      </c>
      <c r="B30" s="22" t="n">
        <v>12370</v>
      </c>
      <c r="C30" s="38"/>
    </row>
    <row r="31" customFormat="false" ht="15" hidden="false" customHeight="false" outlineLevel="0" collapsed="false">
      <c r="A31" s="35" t="s">
        <v>31</v>
      </c>
      <c r="B31" s="22" t="n">
        <v>12390</v>
      </c>
      <c r="C31" s="32" t="n">
        <v>184064.99</v>
      </c>
    </row>
    <row r="32" customFormat="false" ht="15" hidden="false" customHeight="false" outlineLevel="0" collapsed="false">
      <c r="A32" s="30" t="s">
        <v>32</v>
      </c>
      <c r="B32" s="31" t="n">
        <v>12400</v>
      </c>
      <c r="C32" s="33"/>
    </row>
    <row r="33" customFormat="false" ht="15" hidden="false" customHeight="false" outlineLevel="0" collapsed="false">
      <c r="A33" s="30" t="s">
        <v>33</v>
      </c>
      <c r="B33" s="31" t="n">
        <v>12500</v>
      </c>
      <c r="C33" s="32" t="n">
        <v>31226.45</v>
      </c>
    </row>
    <row r="34" customFormat="false" ht="15" hidden="false" customHeight="false" outlineLevel="0" collapsed="false">
      <c r="A34" s="30" t="s">
        <v>34</v>
      </c>
      <c r="B34" s="31" t="n">
        <v>12600</v>
      </c>
      <c r="C34" s="33"/>
    </row>
    <row r="35" customFormat="false" ht="15" hidden="false" customHeight="false" outlineLevel="0" collapsed="false">
      <c r="A35" s="30" t="s">
        <v>35</v>
      </c>
      <c r="B35" s="31" t="n">
        <v>12700</v>
      </c>
      <c r="C35" s="32" t="n">
        <v>860317.960000001</v>
      </c>
    </row>
    <row r="36" customFormat="false" ht="15" hidden="false" customHeight="false" outlineLevel="0" collapsed="false">
      <c r="A36" s="25" t="s">
        <v>36</v>
      </c>
      <c r="B36" s="26" t="n">
        <v>10000</v>
      </c>
      <c r="C36" s="27" t="n">
        <v>2255469.75</v>
      </c>
    </row>
    <row r="37" customFormat="false" ht="24.75" hidden="false" customHeight="true" outlineLevel="0" collapsed="false">
      <c r="A37" s="24" t="s">
        <v>37</v>
      </c>
      <c r="B37" s="24"/>
      <c r="C37" s="24"/>
    </row>
    <row r="38" customFormat="false" ht="15" hidden="false" customHeight="false" outlineLevel="0" collapsed="false">
      <c r="A38" s="25" t="s">
        <v>38</v>
      </c>
      <c r="B38" s="26" t="n">
        <v>20000</v>
      </c>
      <c r="C38" s="27" t="n">
        <v>1568026.58</v>
      </c>
    </row>
    <row r="39" customFormat="false" ht="15" hidden="false" customHeight="false" outlineLevel="0" collapsed="false">
      <c r="A39" s="21" t="s">
        <v>39</v>
      </c>
      <c r="B39" s="31" t="n">
        <v>21000</v>
      </c>
      <c r="C39" s="39" t="n">
        <v>1568026.58</v>
      </c>
    </row>
    <row r="40" customFormat="false" ht="15" hidden="false" customHeight="false" outlineLevel="0" collapsed="false">
      <c r="A40" s="30" t="s">
        <v>40</v>
      </c>
      <c r="B40" s="31" t="n">
        <v>21100</v>
      </c>
      <c r="C40" s="32" t="n">
        <v>3000</v>
      </c>
    </row>
    <row r="41" customFormat="false" ht="15" hidden="false" customHeight="false" outlineLevel="0" collapsed="false">
      <c r="A41" s="35" t="s">
        <v>41</v>
      </c>
      <c r="B41" s="22" t="n">
        <v>21110</v>
      </c>
      <c r="C41" s="32" t="n">
        <v>3000</v>
      </c>
    </row>
    <row r="42" customFormat="false" ht="15" hidden="false" customHeight="false" outlineLevel="0" collapsed="false">
      <c r="A42" s="35" t="s">
        <v>42</v>
      </c>
      <c r="B42" s="22" t="n">
        <v>21120</v>
      </c>
      <c r="C42" s="38"/>
    </row>
    <row r="43" customFormat="false" ht="15" hidden="false" customHeight="false" outlineLevel="0" collapsed="false">
      <c r="A43" s="30" t="s">
        <v>43</v>
      </c>
      <c r="B43" s="31" t="n">
        <v>21200</v>
      </c>
      <c r="C43" s="33"/>
    </row>
    <row r="44" customFormat="false" ht="15" hidden="false" customHeight="false" outlineLevel="0" collapsed="false">
      <c r="A44" s="30" t="s">
        <v>44</v>
      </c>
      <c r="B44" s="31" t="n">
        <v>21300</v>
      </c>
      <c r="C44" s="32" t="n">
        <v>886360.48</v>
      </c>
    </row>
    <row r="45" customFormat="false" ht="15" hidden="false" customHeight="false" outlineLevel="0" collapsed="false">
      <c r="A45" s="30" t="s">
        <v>45</v>
      </c>
      <c r="B45" s="31" t="n">
        <v>21400</v>
      </c>
      <c r="C45" s="38"/>
    </row>
    <row r="46" customFormat="false" ht="15" hidden="false" customHeight="false" outlineLevel="0" collapsed="false">
      <c r="A46" s="30" t="s">
        <v>46</v>
      </c>
      <c r="B46" s="31" t="n">
        <v>21500</v>
      </c>
      <c r="C46" s="32" t="n">
        <v>886360.48</v>
      </c>
    </row>
    <row r="47" customFormat="false" ht="15" hidden="false" customHeight="false" outlineLevel="0" collapsed="false">
      <c r="A47" s="30" t="s">
        <v>47</v>
      </c>
      <c r="B47" s="31" t="n">
        <v>21600</v>
      </c>
      <c r="C47" s="33"/>
    </row>
    <row r="48" customFormat="false" ht="15" hidden="false" customHeight="false" outlineLevel="0" collapsed="false">
      <c r="A48" s="30" t="s">
        <v>48</v>
      </c>
      <c r="B48" s="31" t="n">
        <v>21700</v>
      </c>
      <c r="C48" s="32" t="n">
        <v>-1.16415321826935E-010</v>
      </c>
    </row>
    <row r="49" customFormat="false" ht="15" hidden="false" customHeight="false" outlineLevel="0" collapsed="false">
      <c r="A49" s="30" t="s">
        <v>49</v>
      </c>
      <c r="B49" s="31" t="n">
        <v>21800</v>
      </c>
      <c r="C49" s="33"/>
    </row>
    <row r="50" customFormat="false" ht="15" hidden="false" customHeight="false" outlineLevel="0" collapsed="false">
      <c r="A50" s="30" t="s">
        <v>50</v>
      </c>
      <c r="B50" s="31" t="n">
        <v>21900</v>
      </c>
      <c r="C50" s="32" t="n">
        <v>678666.099999998</v>
      </c>
    </row>
    <row r="51" customFormat="false" ht="15" hidden="false" customHeight="false" outlineLevel="0" collapsed="false">
      <c r="A51" s="21" t="s">
        <v>51</v>
      </c>
      <c r="B51" s="31" t="n">
        <v>22000</v>
      </c>
      <c r="C51" s="33"/>
    </row>
    <row r="52" customFormat="false" ht="15" hidden="false" customHeight="false" outlineLevel="0" collapsed="false">
      <c r="A52" s="21" t="s">
        <v>52</v>
      </c>
      <c r="B52" s="31" t="n">
        <v>23000</v>
      </c>
      <c r="C52" s="33"/>
    </row>
    <row r="53" customFormat="false" ht="15" hidden="false" customHeight="false" outlineLevel="0" collapsed="false">
      <c r="A53" s="25" t="s">
        <v>53</v>
      </c>
      <c r="B53" s="26" t="n">
        <v>31000</v>
      </c>
      <c r="C53" s="27" t="n">
        <v>60870.15</v>
      </c>
    </row>
    <row r="54" customFormat="false" ht="15" hidden="false" customHeight="false" outlineLevel="0" collapsed="false">
      <c r="A54" s="30" t="s">
        <v>54</v>
      </c>
      <c r="B54" s="31" t="n">
        <v>31100</v>
      </c>
      <c r="C54" s="33"/>
    </row>
    <row r="55" customFormat="false" ht="15" hidden="false" customHeight="false" outlineLevel="0" collapsed="false">
      <c r="A55" s="30" t="s">
        <v>55</v>
      </c>
      <c r="B55" s="31" t="n">
        <v>31200</v>
      </c>
      <c r="C55" s="32" t="n">
        <v>60870.15</v>
      </c>
    </row>
    <row r="56" customFormat="false" ht="15" hidden="false" customHeight="false" outlineLevel="0" collapsed="false">
      <c r="A56" s="35" t="s">
        <v>56</v>
      </c>
      <c r="B56" s="22" t="n">
        <v>31220</v>
      </c>
      <c r="C56" s="32" t="n">
        <v>60870.15</v>
      </c>
    </row>
    <row r="57" customFormat="false" ht="15" hidden="false" customHeight="false" outlineLevel="0" collapsed="false">
      <c r="A57" s="35" t="s">
        <v>57</v>
      </c>
      <c r="B57" s="22" t="n">
        <v>31230</v>
      </c>
      <c r="C57" s="38"/>
    </row>
    <row r="58" customFormat="false" ht="15" hidden="false" customHeight="false" outlineLevel="0" collapsed="false">
      <c r="A58" s="35" t="s">
        <v>58</v>
      </c>
      <c r="B58" s="22" t="n">
        <v>31290</v>
      </c>
      <c r="C58" s="38"/>
    </row>
    <row r="59" customFormat="false" ht="15" hidden="false" customHeight="false" outlineLevel="0" collapsed="false">
      <c r="A59" s="30" t="s">
        <v>59</v>
      </c>
      <c r="B59" s="31" t="n">
        <v>31300</v>
      </c>
      <c r="C59" s="33"/>
    </row>
    <row r="60" customFormat="false" ht="15" hidden="false" customHeight="false" outlineLevel="0" collapsed="false">
      <c r="A60" s="30" t="s">
        <v>60</v>
      </c>
      <c r="B60" s="31" t="n">
        <v>31400</v>
      </c>
      <c r="C60" s="33"/>
    </row>
    <row r="61" customFormat="false" ht="15" hidden="false" customHeight="false" outlineLevel="0" collapsed="false">
      <c r="A61" s="30" t="s">
        <v>61</v>
      </c>
      <c r="B61" s="31" t="n">
        <v>31500</v>
      </c>
      <c r="C61" s="33"/>
    </row>
    <row r="62" customFormat="false" ht="15" hidden="false" customHeight="false" outlineLevel="0" collapsed="false">
      <c r="A62" s="30" t="s">
        <v>62</v>
      </c>
      <c r="B62" s="31" t="n">
        <v>31600</v>
      </c>
      <c r="C62" s="33"/>
    </row>
    <row r="63" customFormat="false" ht="15" hidden="false" customHeight="false" outlineLevel="0" collapsed="false">
      <c r="A63" s="30" t="s">
        <v>63</v>
      </c>
      <c r="B63" s="31" t="n">
        <v>31700</v>
      </c>
      <c r="C63" s="33"/>
    </row>
    <row r="64" customFormat="false" ht="15" hidden="false" customHeight="false" outlineLevel="0" collapsed="false">
      <c r="A64" s="25" t="s">
        <v>64</v>
      </c>
      <c r="B64" s="26" t="n">
        <v>32000</v>
      </c>
      <c r="C64" s="27" t="n">
        <v>626573.02</v>
      </c>
    </row>
    <row r="65" customFormat="false" ht="15" hidden="false" customHeight="false" outlineLevel="0" collapsed="false">
      <c r="A65" s="30" t="s">
        <v>65</v>
      </c>
      <c r="B65" s="31" t="n">
        <v>32100</v>
      </c>
      <c r="C65" s="33"/>
    </row>
    <row r="66" customFormat="false" ht="15" hidden="false" customHeight="false" outlineLevel="0" collapsed="false">
      <c r="A66" s="30" t="s">
        <v>66</v>
      </c>
      <c r="B66" s="31" t="n">
        <v>32200</v>
      </c>
      <c r="C66" s="33"/>
    </row>
    <row r="67" customFormat="false" ht="15" hidden="false" customHeight="false" outlineLevel="0" collapsed="false">
      <c r="A67" s="30" t="s">
        <v>67</v>
      </c>
      <c r="B67" s="31" t="n">
        <v>32300</v>
      </c>
      <c r="C67" s="32" t="n">
        <v>16999.54</v>
      </c>
    </row>
    <row r="68" customFormat="false" ht="15" hidden="false" customHeight="false" outlineLevel="0" collapsed="false">
      <c r="A68" s="35" t="s">
        <v>56</v>
      </c>
      <c r="B68" s="22" t="n">
        <v>32320</v>
      </c>
      <c r="C68" s="32" t="n">
        <v>12821.01</v>
      </c>
    </row>
    <row r="69" customFormat="false" ht="15" hidden="false" customHeight="false" outlineLevel="0" collapsed="false">
      <c r="A69" s="35" t="s">
        <v>57</v>
      </c>
      <c r="B69" s="22" t="n">
        <v>32330</v>
      </c>
      <c r="C69" s="38"/>
    </row>
    <row r="70" customFormat="false" ht="15" hidden="false" customHeight="false" outlineLevel="0" collapsed="false">
      <c r="A70" s="35" t="s">
        <v>68</v>
      </c>
      <c r="B70" s="22" t="n">
        <v>32390</v>
      </c>
      <c r="C70" s="32" t="n">
        <v>4178.53000000001</v>
      </c>
    </row>
    <row r="71" customFormat="false" ht="15" hidden="false" customHeight="false" outlineLevel="0" collapsed="false">
      <c r="A71" s="30" t="s">
        <v>69</v>
      </c>
      <c r="B71" s="31" t="n">
        <v>32400</v>
      </c>
      <c r="C71" s="33"/>
    </row>
    <row r="72" customFormat="false" ht="15" hidden="false" customHeight="false" outlineLevel="0" collapsed="false">
      <c r="A72" s="30" t="s">
        <v>70</v>
      </c>
      <c r="B72" s="31" t="n">
        <v>32500</v>
      </c>
      <c r="C72" s="32" t="n">
        <v>609573.48</v>
      </c>
    </row>
    <row r="73" customFormat="false" ht="15" hidden="false" customHeight="false" outlineLevel="0" collapsed="false">
      <c r="A73" s="35" t="s">
        <v>71</v>
      </c>
      <c r="B73" s="22" t="n">
        <v>32580</v>
      </c>
      <c r="C73" s="32" t="n">
        <v>65417.01</v>
      </c>
    </row>
    <row r="74" customFormat="false" ht="15" hidden="false" customHeight="false" outlineLevel="0" collapsed="false">
      <c r="A74" s="36" t="s">
        <v>72</v>
      </c>
      <c r="B74" s="22" t="n">
        <v>32581</v>
      </c>
      <c r="C74" s="37"/>
    </row>
    <row r="75" customFormat="false" ht="15" hidden="false" customHeight="false" outlineLevel="0" collapsed="false">
      <c r="A75" s="36" t="s">
        <v>73</v>
      </c>
      <c r="B75" s="22" t="n">
        <v>32582</v>
      </c>
      <c r="C75" s="37"/>
    </row>
    <row r="76" customFormat="false" ht="15" hidden="false" customHeight="false" outlineLevel="0" collapsed="false">
      <c r="A76" s="35" t="s">
        <v>74</v>
      </c>
      <c r="B76" s="22" t="n">
        <v>32590</v>
      </c>
      <c r="C76" s="32" t="n">
        <v>544156.47</v>
      </c>
    </row>
    <row r="77" customFormat="false" ht="15" hidden="false" customHeight="false" outlineLevel="0" collapsed="false">
      <c r="A77" s="30" t="s">
        <v>34</v>
      </c>
      <c r="B77" s="31" t="n">
        <v>32600</v>
      </c>
      <c r="C77" s="33"/>
    </row>
    <row r="78" customFormat="false" ht="15" hidden="false" customHeight="false" outlineLevel="0" collapsed="false">
      <c r="A78" s="30" t="s">
        <v>75</v>
      </c>
      <c r="B78" s="31" t="n">
        <v>32700</v>
      </c>
      <c r="C78" s="33"/>
    </row>
    <row r="79" customFormat="false" ht="15" hidden="false" customHeight="false" outlineLevel="0" collapsed="false">
      <c r="A79" s="25" t="s">
        <v>76</v>
      </c>
      <c r="B79" s="26" t="n">
        <v>30000</v>
      </c>
      <c r="C79" s="27" t="n">
        <v>2255469.75</v>
      </c>
    </row>
    <row r="80" customFormat="false" ht="24.75" hidden="false" customHeight="true" outlineLevel="0" collapsed="false">
      <c r="A80" s="24" t="s">
        <v>77</v>
      </c>
      <c r="B80" s="24"/>
      <c r="C80" s="24"/>
    </row>
    <row r="81" customFormat="false" ht="15" hidden="false" customHeight="true" outlineLevel="0" collapsed="false">
      <c r="A81" s="40" t="s">
        <v>78</v>
      </c>
      <c r="B81" s="31" t="n">
        <v>401009</v>
      </c>
      <c r="C81" s="32" t="n">
        <v>2698392.91</v>
      </c>
      <c r="P81" s="41"/>
    </row>
    <row r="82" customFormat="false" ht="15" hidden="false" customHeight="true" outlineLevel="0" collapsed="false">
      <c r="A82" s="40" t="s">
        <v>79</v>
      </c>
      <c r="B82" s="31" t="n">
        <v>40100</v>
      </c>
      <c r="C82" s="32" t="n">
        <v>4575446.84</v>
      </c>
      <c r="P82" s="41"/>
    </row>
    <row r="83" customFormat="false" ht="15" hidden="false" customHeight="true" outlineLevel="0" collapsed="false">
      <c r="A83" s="40" t="s">
        <v>80</v>
      </c>
      <c r="B83" s="31" t="n">
        <v>40200</v>
      </c>
      <c r="C83" s="33"/>
    </row>
    <row r="84" customFormat="false" ht="15" hidden="false" customHeight="true" outlineLevel="0" collapsed="false">
      <c r="A84" s="40" t="s">
        <v>81</v>
      </c>
      <c r="B84" s="31" t="n">
        <v>40300</v>
      </c>
      <c r="C84" s="33"/>
    </row>
    <row r="85" customFormat="false" ht="15" hidden="false" customHeight="true" outlineLevel="0" collapsed="false">
      <c r="A85" s="40" t="s">
        <v>82</v>
      </c>
      <c r="B85" s="31" t="n">
        <v>40400</v>
      </c>
      <c r="C85" s="32" t="n">
        <v>-1525477.41</v>
      </c>
    </row>
    <row r="86" customFormat="false" ht="15" hidden="false" customHeight="true" outlineLevel="0" collapsed="false">
      <c r="A86" s="40" t="s">
        <v>83</v>
      </c>
      <c r="B86" s="31" t="n">
        <v>40500</v>
      </c>
      <c r="C86" s="32" t="n">
        <v>95.78</v>
      </c>
    </row>
    <row r="87" customFormat="false" ht="15" hidden="false" customHeight="true" outlineLevel="0" collapsed="false">
      <c r="A87" s="40" t="s">
        <v>84</v>
      </c>
      <c r="B87" s="31" t="n">
        <v>40600</v>
      </c>
      <c r="C87" s="32" t="n">
        <v>-1193033.58</v>
      </c>
    </row>
    <row r="88" customFormat="false" ht="15" hidden="false" customHeight="true" outlineLevel="0" collapsed="false">
      <c r="A88" s="40" t="s">
        <v>85</v>
      </c>
      <c r="B88" s="31" t="n">
        <v>40700</v>
      </c>
      <c r="C88" s="32" t="n">
        <v>-931833.98</v>
      </c>
    </row>
    <row r="89" customFormat="false" ht="15" hidden="false" customHeight="true" outlineLevel="0" collapsed="false">
      <c r="A89" s="40" t="s">
        <v>86</v>
      </c>
      <c r="B89" s="31" t="n">
        <v>40800</v>
      </c>
      <c r="C89" s="32" t="n">
        <v>-30687.31</v>
      </c>
    </row>
    <row r="90" customFormat="false" ht="15" hidden="false" customHeight="true" outlineLevel="0" collapsed="false">
      <c r="A90" s="40" t="s">
        <v>87</v>
      </c>
      <c r="B90" s="31" t="n">
        <v>40900</v>
      </c>
      <c r="C90" s="33"/>
    </row>
    <row r="91" customFormat="false" ht="15" hidden="false" customHeight="true" outlineLevel="0" collapsed="false">
      <c r="A91" s="40" t="s">
        <v>88</v>
      </c>
      <c r="B91" s="31" t="n">
        <v>41000</v>
      </c>
      <c r="C91" s="33"/>
    </row>
    <row r="92" customFormat="false" ht="15" hidden="false" customHeight="true" outlineLevel="0" collapsed="false">
      <c r="A92" s="40" t="s">
        <v>89</v>
      </c>
      <c r="B92" s="31" t="n">
        <v>41100</v>
      </c>
      <c r="C92" s="33"/>
    </row>
    <row r="93" customFormat="false" ht="15" hidden="false" customHeight="true" outlineLevel="0" collapsed="false">
      <c r="A93" s="30" t="s">
        <v>90</v>
      </c>
      <c r="B93" s="31" t="n">
        <v>41200</v>
      </c>
      <c r="C93" s="33"/>
    </row>
    <row r="94" customFormat="false" ht="15" hidden="false" customHeight="true" outlineLevel="0" collapsed="false">
      <c r="A94" s="40" t="s">
        <v>91</v>
      </c>
      <c r="B94" s="31" t="n">
        <v>41300</v>
      </c>
      <c r="C94" s="32" t="n">
        <v>-6179.35</v>
      </c>
    </row>
    <row r="95" customFormat="false" ht="15" hidden="false" customHeight="true" outlineLevel="0" collapsed="false">
      <c r="A95" s="25" t="s">
        <v>92</v>
      </c>
      <c r="B95" s="26" t="n">
        <v>49100</v>
      </c>
      <c r="C95" s="27" t="n">
        <v>888330.989999999</v>
      </c>
    </row>
    <row r="96" customFormat="false" ht="15" hidden="false" customHeight="true" outlineLevel="0" collapsed="false">
      <c r="A96" s="40" t="s">
        <v>93</v>
      </c>
      <c r="B96" s="31" t="n">
        <v>41400</v>
      </c>
      <c r="C96" s="32" t="n">
        <v>60.37</v>
      </c>
    </row>
    <row r="97" customFormat="false" ht="15" hidden="false" customHeight="true" outlineLevel="0" collapsed="false">
      <c r="A97" s="42" t="s">
        <v>94</v>
      </c>
      <c r="B97" s="22" t="n">
        <v>41430</v>
      </c>
      <c r="C97" s="37"/>
    </row>
    <row r="98" customFormat="false" ht="15" hidden="false" customHeight="true" outlineLevel="0" collapsed="false">
      <c r="A98" s="42" t="s">
        <v>95</v>
      </c>
      <c r="B98" s="22" t="n">
        <v>41490</v>
      </c>
      <c r="C98" s="32" t="n">
        <v>60.37</v>
      </c>
    </row>
    <row r="99" customFormat="false" ht="15" hidden="false" customHeight="true" outlineLevel="0" collapsed="false">
      <c r="A99" s="40" t="s">
        <v>96</v>
      </c>
      <c r="B99" s="31" t="n">
        <v>41500</v>
      </c>
      <c r="C99" s="32" t="n">
        <v>-3446.09</v>
      </c>
    </row>
    <row r="100" customFormat="false" ht="15" hidden="false" customHeight="true" outlineLevel="0" collapsed="false">
      <c r="A100" s="40" t="s">
        <v>97</v>
      </c>
      <c r="B100" s="31" t="n">
        <v>41600</v>
      </c>
      <c r="C100" s="43"/>
    </row>
    <row r="101" customFormat="false" ht="15" hidden="false" customHeight="true" outlineLevel="0" collapsed="false">
      <c r="A101" s="40" t="s">
        <v>98</v>
      </c>
      <c r="B101" s="31" t="n">
        <v>41700</v>
      </c>
      <c r="C101" s="43"/>
    </row>
    <row r="102" customFormat="false" ht="15" hidden="false" customHeight="true" outlineLevel="0" collapsed="false">
      <c r="A102" s="30" t="s">
        <v>99</v>
      </c>
      <c r="B102" s="31" t="n">
        <v>41800</v>
      </c>
      <c r="C102" s="43"/>
    </row>
    <row r="103" customFormat="false" ht="15" hidden="false" customHeight="true" outlineLevel="0" collapsed="false">
      <c r="A103" s="30" t="s">
        <v>100</v>
      </c>
      <c r="B103" s="31" t="n">
        <v>42100</v>
      </c>
      <c r="C103" s="43"/>
    </row>
    <row r="104" customFormat="false" ht="15" hidden="false" customHeight="true" outlineLevel="0" collapsed="false">
      <c r="A104" s="21" t="s">
        <v>101</v>
      </c>
      <c r="B104" s="31" t="n">
        <v>49200</v>
      </c>
      <c r="C104" s="27" t="n">
        <v>-3385.72</v>
      </c>
    </row>
    <row r="105" customFormat="false" ht="15" hidden="false" customHeight="true" outlineLevel="0" collapsed="false">
      <c r="A105" s="21" t="s">
        <v>102</v>
      </c>
      <c r="B105" s="31" t="n">
        <v>49300</v>
      </c>
      <c r="C105" s="27" t="n">
        <v>884945.269999999</v>
      </c>
    </row>
    <row r="106" customFormat="false" ht="15" hidden="false" customHeight="true" outlineLevel="0" collapsed="false">
      <c r="A106" s="40" t="s">
        <v>103</v>
      </c>
      <c r="B106" s="31" t="n">
        <v>41900</v>
      </c>
      <c r="C106" s="32" t="n">
        <v>-206279.17</v>
      </c>
    </row>
    <row r="107" customFormat="false" ht="15" hidden="false" customHeight="true" outlineLevel="0" collapsed="false">
      <c r="A107" s="25" t="s">
        <v>104</v>
      </c>
      <c r="B107" s="26" t="n">
        <v>49500</v>
      </c>
      <c r="C107" s="27" t="n">
        <v>678666.099999999</v>
      </c>
    </row>
    <row r="111" customFormat="false" ht="15" hidden="false" customHeight="false" outlineLevel="0" collapsed="false">
      <c r="A111" s="44"/>
      <c r="B111" s="44"/>
      <c r="C111" s="44"/>
    </row>
    <row r="112" customFormat="false" ht="15" hidden="false" customHeight="false" outlineLevel="0" collapsed="false">
      <c r="A112" s="44"/>
      <c r="B112" s="44"/>
      <c r="C112" s="44"/>
    </row>
    <row r="113" customFormat="false" ht="15" hidden="false" customHeight="false" outlineLevel="0" collapsed="false">
      <c r="A113" s="44"/>
      <c r="B113" s="44"/>
      <c r="C113" s="44"/>
    </row>
    <row r="114" customFormat="false" ht="15" hidden="false" customHeight="false" outlineLevel="0" collapsed="false">
      <c r="A114" s="44"/>
      <c r="B114" s="44"/>
      <c r="C114" s="44"/>
    </row>
    <row r="115" customFormat="false" ht="15" hidden="false" customHeight="false" outlineLevel="0" collapsed="false">
      <c r="A115" s="44"/>
      <c r="B115" s="44"/>
      <c r="C115" s="44"/>
    </row>
    <row r="116" customFormat="false" ht="15" hidden="false" customHeight="false" outlineLevel="0" collapsed="false">
      <c r="A116" s="44"/>
      <c r="B116" s="44"/>
      <c r="C116" s="44"/>
    </row>
  </sheetData>
  <mergeCells count="3">
    <mergeCell ref="A14:C14"/>
    <mergeCell ref="A37:C37"/>
    <mergeCell ref="A80:C8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5">
              <controlPr defaultSize="0" print="false" autoFill="0" autoPict="0" macro="Modulo1.CargarInformeXBRL">
                <anchor moveWithCells="true" sizeWithCells="false">
                  <from>
                    <xdr:col>0</xdr:col>
                    <xdr:colOff>647640</xdr:colOff>
                    <xdr:row>5</xdr:row>
                    <xdr:rowOff>9360</xdr:rowOff>
                  </from>
                  <to>
                    <xdr:col>1</xdr:col>
                    <xdr:colOff>-3328200</xdr:colOff>
                    <xdr:row>8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30">
              <controlPr defaultSize="0" print="false" autoFill="0" autoPict="0" macro="Modulo1.LimpiarFormulario">
                <anchor moveWithCells="true" sizeWithCells="false">
                  <from>
                    <xdr:col>0</xdr:col>
                    <xdr:colOff>647640</xdr:colOff>
                    <xdr:row>8</xdr:row>
                    <xdr:rowOff>123840</xdr:rowOff>
                  </from>
                  <to>
                    <xdr:col>1</xdr:col>
                    <xdr:colOff>-3328200</xdr:colOff>
                    <xdr:row>11</xdr:row>
                    <xdr:rowOff>95400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4296875" defaultRowHeight="12.75" zeroHeight="false" outlineLevelRow="0" outlineLevelCol="0"/>
  <cols>
    <col collapsed="false" customWidth="true" hidden="false" outlineLevel="0" max="1" min="1" style="45" width="86.57"/>
    <col collapsed="false" customWidth="false" hidden="false" outlineLevel="0" max="2" min="2" style="46" width="11.43"/>
    <col collapsed="false" customWidth="false" hidden="false" outlineLevel="0" max="16384" min="3" style="45" width="11.43"/>
  </cols>
  <sheetData>
    <row r="1" s="3" customFormat="true" ht="19.5" hidden="false" customHeight="true" outlineLevel="0" collapsed="false">
      <c r="A1" s="2"/>
      <c r="B1" s="47"/>
    </row>
    <row r="2" s="1" customFormat="true" ht="24" hidden="false" customHeight="true" outlineLevel="0" collapsed="false">
      <c r="A2" s="48"/>
      <c r="B2" s="49"/>
    </row>
    <row r="3" s="1" customFormat="true" ht="12" hidden="false" customHeight="true" outlineLevel="0" collapsed="false">
      <c r="A3" s="18"/>
      <c r="B3" s="49"/>
    </row>
    <row r="4" s="1" customFormat="true" ht="12" hidden="false" customHeight="true" outlineLevel="0" collapsed="false">
      <c r="A4" s="18"/>
      <c r="B4" s="49"/>
    </row>
    <row r="5" s="1" customFormat="true" ht="12" hidden="false" customHeight="true" outlineLevel="0" collapsed="false">
      <c r="A5" s="18"/>
      <c r="B5" s="50"/>
    </row>
    <row r="6" customFormat="false" ht="24.75" hidden="false" customHeight="true" outlineLevel="0" collapsed="false">
      <c r="A6" s="24" t="s">
        <v>105</v>
      </c>
      <c r="B6" s="4" t="s">
        <v>106</v>
      </c>
    </row>
    <row r="7" customFormat="false" ht="24.75" hidden="false" customHeight="true" outlineLevel="0" collapsed="false">
      <c r="A7" s="24"/>
      <c r="B7" s="51" t="n">
        <f aca="false">Cuentas!C13</f>
        <v>2024</v>
      </c>
    </row>
    <row r="8" customFormat="false" ht="15" hidden="false" customHeight="true" outlineLevel="0" collapsed="false">
      <c r="A8" s="52" t="s">
        <v>107</v>
      </c>
      <c r="B8" s="52"/>
    </row>
    <row r="9" customFormat="false" ht="19.5" hidden="false" customHeight="true" outlineLevel="0" collapsed="false">
      <c r="A9" s="53" t="s">
        <v>108</v>
      </c>
      <c r="B9" s="54" t="n">
        <f aca="false">IF((Cuentas!C62+Cuentas!C65+Cuentas!C67+Cuentas!C72+Cuentas!C78)&lt;&gt;0,(Cuentas!C22+Cuentas!C23-Cuentas!C24-Cuentas!C30)/(Cuentas!C62+Cuentas!C65+Cuentas!C67+Cuentas!C72+Cuentas!C78),"n.d.")</f>
        <v>3.09618867725904</v>
      </c>
    </row>
    <row r="10" customFormat="false" ht="19.5" hidden="false" customHeight="true" outlineLevel="0" collapsed="false">
      <c r="A10" s="53" t="s">
        <v>109</v>
      </c>
      <c r="B10" s="54" t="n">
        <f aca="false">IF((Cuentas!C62+Cuentas!C65+Cuentas!C67+Cuentas!C72+Cuentas!C78)&lt;&gt;0,(Cuentas!C32+Cuentas!C33+Cuentas!C35)/(Cuentas!C62+Cuentas!C65+Cuentas!C67+Cuentas!C72+Cuentas!C78),"n.d.")</f>
        <v>1.42288988121448</v>
      </c>
    </row>
    <row r="11" customFormat="false" ht="19.5" hidden="false" customHeight="true" outlineLevel="0" collapsed="false">
      <c r="A11" s="53" t="s">
        <v>110</v>
      </c>
      <c r="B11" s="54" t="n">
        <f aca="false">IF((Cuentas!C15+Cuentas!C23-Cuentas!C30)&lt;&gt;0,(Cuentas!C32+Cuentas!C33+Cuentas!C35)/(Cuentas!C15+Cuentas!C23-Cuentas!C30),"n.d.")</f>
        <v>0.395281031811666</v>
      </c>
    </row>
    <row r="12" customFormat="false" ht="19.5" hidden="false" customHeight="true" outlineLevel="0" collapsed="false">
      <c r="A12" s="53" t="s">
        <v>111</v>
      </c>
      <c r="B12" s="54" t="n">
        <f aca="false">IF((Cuentas!C15+Cuentas!C23-Cuentas!C30)&lt;&gt;0,(Cuentas!C22+Cuentas!C23-Cuentas!C24-Cuentas!C30-Cuentas!C62-Cuentas!C65-Cuentas!C67-Cuentas!C72-Cuentas!C78)/(Cuentas!C15+Cuentas!C23-Cuentas!C30),"n.d.")</f>
        <v>0.582324489166836</v>
      </c>
    </row>
    <row r="13" customFormat="false" ht="19.5" hidden="false" customHeight="true" outlineLevel="0" collapsed="false">
      <c r="A13" s="53" t="s">
        <v>112</v>
      </c>
      <c r="B13" s="54" t="n">
        <f aca="false">IF((Cuentas!C82)&lt;&gt;0,(Cuentas!C22+Cuentas!C23-Cuentas!C24-Cuentas!C30-Cuentas!C62-Cuentas!C65-Cuentas!C67-Cuentas!C72-Cuentas!C78)/(Cuentas!C82),"n.d.")</f>
        <v>0.287057268050349</v>
      </c>
    </row>
    <row r="14" customFormat="false" ht="19.5" hidden="false" customHeight="true" outlineLevel="0" collapsed="false">
      <c r="A14" s="53" t="s">
        <v>113</v>
      </c>
      <c r="B14" s="54" t="n">
        <f aca="false">IF((Cuentas!C82)&lt;&gt;0,(Cuentas!C22+Cuentas!C25+Cuentas!C27-Cuentas!C62-Cuentas!C73)/(Cuentas!C82),"n.d.")</f>
        <v>0.174619421433383</v>
      </c>
    </row>
    <row r="15" customFormat="false" ht="15" hidden="false" customHeight="true" outlineLevel="0" collapsed="false">
      <c r="A15" s="52" t="s">
        <v>114</v>
      </c>
      <c r="B15" s="52"/>
    </row>
    <row r="16" customFormat="false" ht="19.5" hidden="false" customHeight="true" outlineLevel="0" collapsed="false">
      <c r="A16" s="53" t="s">
        <v>115</v>
      </c>
      <c r="B16" s="54" t="n">
        <f aca="false">IF((Cuentas!C15+Cuentas!C23-Cuentas!C30)&lt;&gt;0,(Cuentas!C55+Cuentas!C59+Cuentas!C62+Cuentas!C63+Cuentas!C65+Cuentas!C67+Cuentas!C72+Cuentas!C78)/(Cuentas!C15+Cuentas!C23-Cuentas!C30),"n.d.")</f>
        <v>0.304789354856122</v>
      </c>
    </row>
    <row r="17" customFormat="false" ht="19.5" hidden="false" customHeight="true" outlineLevel="0" collapsed="false">
      <c r="A17" s="53" t="s">
        <v>116</v>
      </c>
      <c r="B17" s="54" t="n">
        <f aca="false">IF((Cuentas!C15+Cuentas!C23-Cuentas!C30)&lt;&gt;0,(Cuentas!C56+Cuentas!C57+Cuentas!C68+Cuentas!C69)/(Cuentas!C15+Cuentas!C23-Cuentas!C30),"n.d.")</f>
        <v>0.0326722005471366</v>
      </c>
    </row>
    <row r="18" customFormat="false" ht="19.5" hidden="false" customHeight="true" outlineLevel="0" collapsed="false">
      <c r="A18" s="53" t="s">
        <v>117</v>
      </c>
      <c r="B18" s="54" t="n">
        <f aca="false">IF((Cuentas!C55+Cuentas!C59+Cuentas!C62+Cuentas!C63+Cuentas!C65+Cuentas!C67+Cuentas!C72+Cuentas!C78)&lt;&gt;0,(Cuentas!C62+Cuentas!C65+Cuentas!C67+Cuentas!C72+Cuentas!C78)/(Cuentas!C55+Cuentas!C59+Cuentas!C62+Cuentas!C63+Cuentas!C65+Cuentas!C67+Cuentas!C72+Cuentas!C78),"n.d.")</f>
        <v>0.911454280649847</v>
      </c>
    </row>
    <row r="19" customFormat="false" ht="19.5" hidden="false" customHeight="true" outlineLevel="0" collapsed="false">
      <c r="A19" s="55" t="s">
        <v>118</v>
      </c>
      <c r="B19" s="54" t="n">
        <f aca="false">IF((Cuentas!C55+Cuentas!C59+Cuentas!C62+Cuentas!C63+Cuentas!C65+Cuentas!C67+Cuentas!C72+Cuentas!C78)&lt;&gt;0,(Cuentas!C56+Cuentas!C57+Cuentas!C68+Cuentas!C69)/(Cuentas!C55+Cuentas!C59+Cuentas!C62+Cuentas!C63+Cuentas!C65+Cuentas!C67+Cuentas!C72+Cuentas!C78),"n.d.")</f>
        <v>0.107196002834678</v>
      </c>
    </row>
    <row r="20" customFormat="false" ht="19.5" hidden="false" customHeight="true" outlineLevel="0" collapsed="false">
      <c r="A20" s="55" t="s">
        <v>119</v>
      </c>
      <c r="B20" s="54" t="n">
        <f aca="false">IF((Cuentas!C53-Cuentas!C54+Cuentas!C64-Cuentas!C66-Cuentas!C71-Cuentas!C32-Cuentas!C33-Cuentas!C35)&lt;&gt;0,(Cuentas!C82+Cuentas!C83+Cuentas!C84+Cuentas!C85+Cuentas!C86+Cuentas!C87+Cuentas!C88)/(Cuentas!C53-Cuentas!C54+Cuentas!C64-Cuentas!C66-Cuentas!C71-Cuentas!C32-Cuentas!C33-Cuentas!C35),"n.d.")</f>
        <v>-4.53303296932442</v>
      </c>
    </row>
    <row r="21" customFormat="false" ht="19.5" hidden="false" customHeight="true" outlineLevel="0" collapsed="false">
      <c r="A21" s="55" t="s">
        <v>120</v>
      </c>
      <c r="B21" s="54" t="n">
        <f aca="false">IF((Cuentas!C82+Cuentas!C83+Cuentas!C84+Cuentas!C85+Cuentas!C86+Cuentas!C87+Cuentas!C88)&lt;&gt;0,(-1*Cuentas!C99)/(Cuentas!C82+Cuentas!C83+Cuentas!C84+Cuentas!C85+Cuentas!C86+Cuentas!C87+Cuentas!C88),"n.d.")</f>
        <v>0.00372470682345551</v>
      </c>
    </row>
    <row r="22" customFormat="false" ht="19.5" hidden="false" customHeight="true" outlineLevel="0" collapsed="false">
      <c r="A22" s="55" t="s">
        <v>121</v>
      </c>
      <c r="B22" s="54" t="n">
        <f aca="false">IF((Cuentas!C53-Cuentas!C54+Cuentas!C64-Cuentas!C66-Cuentas!C71-Cuentas!C32-Cuentas!C33-Cuentas!C35)&lt;&gt;0,(-1*Cuentas!C99)/(Cuentas!C53-Cuentas!C54+Cuentas!C64-Cuentas!C66-Cuentas!C71-Cuentas!C32-Cuentas!C33-Cuentas!C35),"n.d.")</f>
        <v>-0.0168842188317915</v>
      </c>
    </row>
    <row r="23" customFormat="false" ht="19.5" hidden="false" customHeight="true" outlineLevel="0" collapsed="false">
      <c r="A23" s="55" t="s">
        <v>122</v>
      </c>
      <c r="B23" s="54" t="n">
        <f aca="false">IF((Cuentas!C15+Cuentas!C23-Cuentas!C30)&lt;&gt;0,(Cuentas!C54+Cuentas!C66)/(Cuentas!C15+Cuentas!C23-Cuentas!C30),"n.d.")</f>
        <v>0</v>
      </c>
    </row>
    <row r="24" customFormat="false" ht="15" hidden="false" customHeight="true" outlineLevel="0" collapsed="false">
      <c r="A24" s="52" t="s">
        <v>123</v>
      </c>
      <c r="B24" s="52"/>
    </row>
    <row r="25" customFormat="false" ht="19.5" hidden="false" customHeight="true" outlineLevel="0" collapsed="false">
      <c r="A25" s="56" t="s">
        <v>124</v>
      </c>
      <c r="B25" s="54" t="n">
        <f aca="false">IF((Cuentas!C15+Cuentas!C23-Cuentas!C30)&lt;&gt;0,(Cuentas!C39+Cuentas!C51+Cuentas!C52-Cuentas!C30)/(Cuentas!C15+Cuentas!C23-Cuentas!C30),"n.d.")</f>
        <v>0.695210645143876</v>
      </c>
    </row>
    <row r="26" customFormat="false" ht="15" hidden="false" customHeight="true" outlineLevel="0" collapsed="false">
      <c r="A26" s="52" t="s">
        <v>125</v>
      </c>
      <c r="B26" s="52"/>
    </row>
    <row r="27" customFormat="false" ht="19.5" hidden="false" customHeight="true" outlineLevel="0" collapsed="false">
      <c r="A27" s="53" t="s">
        <v>126</v>
      </c>
      <c r="B27" s="54" t="n">
        <f aca="false">IF((Cuentas!C15+Cuentas!C23-Cuentas!C30)&lt;&gt;0,Cuentas!C82/(Cuentas!C15+Cuentas!C23-Cuentas!C30),"n.d.")</f>
        <v>2.0286004013133</v>
      </c>
    </row>
    <row r="28" customFormat="false" ht="19.5" hidden="false" customHeight="true" outlineLevel="0" collapsed="false">
      <c r="A28" s="53" t="s">
        <v>127</v>
      </c>
      <c r="B28" s="54" t="n">
        <f aca="false">IF((Cuentas!C15+Cuentas!C23-Cuentas!C30-Cuentas!C22-Cuentas!C23+Cuentas!C24+Cuentas!C30)&lt;&gt;0,Cuentas!C82/(Cuentas!C15+Cuentas!C23-Cuentas!C30-Cuentas!C22-Cuentas!C23+Cuentas!C24+Cuentas!C30),"n.d.")</f>
        <v>14.50306094057</v>
      </c>
    </row>
    <row r="29" customFormat="false" ht="19.5" hidden="false" customHeight="true" outlineLevel="0" collapsed="false">
      <c r="A29" s="53" t="s">
        <v>128</v>
      </c>
      <c r="B29" s="54" t="n">
        <f aca="false">IF((Cuentas!C22+Cuentas!C23-Cuentas!C24-Cuentas!C30)&lt;&gt;0,(Cuentas!C82/(Cuentas!C22+Cuentas!C23-Cuentas!C24-Cuentas!C30)),"n.d.")</f>
        <v>2.35849198862948</v>
      </c>
    </row>
    <row r="30" customFormat="false" ht="19.5" hidden="false" customHeight="true" outlineLevel="0" collapsed="false">
      <c r="A30" s="53" t="s">
        <v>129</v>
      </c>
      <c r="B30" s="54" t="str">
        <f aca="false">IF(Cuentas!C25&lt;&gt;0,(Cuentas!C82/Cuentas!C25),"n.d.")</f>
        <v>n.d.</v>
      </c>
    </row>
    <row r="31" customFormat="false" ht="15" hidden="false" customHeight="true" outlineLevel="0" collapsed="false">
      <c r="A31" s="52" t="s">
        <v>130</v>
      </c>
      <c r="B31" s="52"/>
    </row>
    <row r="32" customFormat="false" ht="19.5" hidden="false" customHeight="true" outlineLevel="0" collapsed="false">
      <c r="A32" s="53" t="s">
        <v>131</v>
      </c>
      <c r="B32" s="54" t="n">
        <f aca="false">IF((Cuentas!C82)&lt;&gt;0,(365*((Cuentas!C22+Cuentas!C27)/(Cuentas!C82))),"n.d.")</f>
        <v>68.9546411274664</v>
      </c>
    </row>
    <row r="33" customFormat="false" ht="19.5" hidden="false" customHeight="true" outlineLevel="0" collapsed="false">
      <c r="A33" s="53" t="s">
        <v>132</v>
      </c>
      <c r="B33" s="54" t="n">
        <f aca="false">IF((Cuentas!C22+Cuentas!C27)&lt;&gt;0,(Cuentas!C62+Cuentas!C73)/(Cuentas!C22+Cuentas!C27),"n.d.")</f>
        <v>0.0756809435732518</v>
      </c>
    </row>
    <row r="34" customFormat="false" ht="15" hidden="false" customHeight="true" outlineLevel="0" collapsed="false">
      <c r="A34" s="52" t="s">
        <v>133</v>
      </c>
      <c r="B34" s="52"/>
    </row>
    <row r="35" customFormat="false" ht="19.5" hidden="false" customHeight="true" outlineLevel="0" collapsed="false">
      <c r="A35" s="53" t="s">
        <v>134</v>
      </c>
      <c r="B35" s="54" t="n">
        <f aca="false">IF(Cuentas!C82&lt;&gt;0,((Cuentas!C82+Cuentas!C83+Cuentas!C84+Cuentas!C85+Cuentas!C86+Cuentas!C88)/Cuentas!C82),"n.d.")</f>
        <v>0.462956144847265</v>
      </c>
    </row>
    <row r="36" customFormat="false" ht="19.5" hidden="false" customHeight="true" outlineLevel="0" collapsed="false">
      <c r="A36" s="53" t="s">
        <v>135</v>
      </c>
      <c r="B36" s="54" t="n">
        <f aca="false">IF(Cuentas!C82&lt;&gt;0,((Cuentas!C82+Cuentas!C83+Cuentas!C84+Cuentas!C85+Cuentas!C86+Cuentas!C87+Cuentas!C88+Cuentas!C89+Cuentas!C91)/Cuentas!C82),"n.d.")</f>
        <v>0.195502291094261</v>
      </c>
    </row>
    <row r="37" customFormat="false" ht="15" hidden="false" customHeight="true" outlineLevel="0" collapsed="false">
      <c r="A37" s="52" t="s">
        <v>136</v>
      </c>
      <c r="B37" s="52"/>
    </row>
    <row r="38" customFormat="false" ht="19.5" hidden="false" customHeight="true" outlineLevel="0" collapsed="false">
      <c r="A38" s="53" t="s">
        <v>137</v>
      </c>
      <c r="B38" s="54" t="n">
        <f aca="false">IF((Cuentas!C15+Cuentas!C23-Cuentas!C30)&lt;&gt;0,(Cuentas!C82+Cuentas!C83+Cuentas!C84+Cuentas!C85+Cuentas!C86+Cuentas!C87+Cuentas!C88+Cuentas!C89+Cuentas!C91)/(Cuentas!C15+Cuentas!C23-Cuentas!C30),"n.d.")</f>
        <v>0.396596026171487</v>
      </c>
    </row>
    <row r="39" customFormat="false" ht="19.5" hidden="false" customHeight="true" outlineLevel="0" collapsed="false">
      <c r="A39" s="53" t="s">
        <v>138</v>
      </c>
      <c r="B39" s="54" t="n">
        <f aca="false">IF((Cuentas!C39+Cuentas!C51+Cuentas!C52-Cuentas!C30)&lt;&gt;0,Cuentas!C107/(Cuentas!C39+Cuentas!C51+Cuentas!C52-Cuentas!C30),"n.d.")</f>
        <v>0.432815430973115</v>
      </c>
    </row>
    <row r="40" customFormat="false" ht="19.5" hidden="false" customHeight="true" outlineLevel="0" collapsed="false">
      <c r="A40" s="53" t="s">
        <v>139</v>
      </c>
      <c r="B40" s="54" t="n">
        <f aca="false">IF((Cuentas!C15+Cuentas!C23-Cuentas!C30)&lt;&gt;0,(Cuentas!C82+Cuentas!C83+Cuentas!C84+Cuentas!C85+Cuentas!C86+Cuentas!C87+Cuentas!C88)/(Cuentas!C15+Cuentas!C23-Cuentas!C30),"n.d.")</f>
        <v>0.410201755088934</v>
      </c>
    </row>
    <row r="41" customFormat="false" ht="19.5" hidden="false" customHeight="true" outlineLevel="0" collapsed="false">
      <c r="A41" s="53" t="s">
        <v>140</v>
      </c>
      <c r="B41" s="54" t="n">
        <f aca="false">IF(Cuentas!C82&lt;&gt;0,(Cuentas!C82+Cuentas!C83+Cuentas!C84+Cuentas!C85+Cuentas!C86+Cuentas!C87+Cuentas!C88)/Cuentas!C82,"n.d.")</f>
        <v>0.202209244769632</v>
      </c>
    </row>
    <row r="42" customFormat="false" ht="15" hidden="false" customHeight="true" outlineLevel="0" collapsed="false">
      <c r="A42" s="52" t="s">
        <v>141</v>
      </c>
      <c r="B42" s="52"/>
    </row>
    <row r="43" customFormat="false" ht="19.5" hidden="false" customHeight="true" outlineLevel="0" collapsed="false">
      <c r="A43" s="57" t="s">
        <v>142</v>
      </c>
      <c r="B43" s="54" t="n">
        <f aca="false">IF(Cuentas!C82&lt;&gt;0,(-1*Cuentas!C87)/Cuentas!C82,"n.d.")</f>
        <v>0.260746900077633</v>
      </c>
    </row>
    <row r="44" customFormat="false" ht="19.5" hidden="false" customHeight="true" outlineLevel="0" collapsed="false">
      <c r="A44" s="57" t="s">
        <v>143</v>
      </c>
      <c r="B44" s="54" t="n">
        <f aca="false">IF((Cuentas!C87)&lt;&gt;0,(Cuentas!C82+Cuentas!C83+Cuentas!C84+Cuentas!C85+Cuentas!C86+Cuentas!C87+Cuentas!C88)/(-1*Cuentas!C87),"n.d.")</f>
        <v>0.775500091120653</v>
      </c>
    </row>
    <row r="45" customFormat="false" ht="19.5" hidden="false" customHeight="true" outlineLevel="0" collapsed="false">
      <c r="A45" s="57" t="s">
        <v>144</v>
      </c>
      <c r="B45" s="54" t="n">
        <f aca="false">IF((Cuentas!C87)&lt;&gt;0,(Cuentas!C82+Cuentas!C83+Cuentas!C84+Cuentas!C85+Cuentas!C86+Cuentas!C87+Cuentas!C88+Cuentas!C89+Cuentas!C91)/(-1*Cuentas!C87),"n.d.")</f>
        <v>0.749778007086773</v>
      </c>
    </row>
    <row r="46" customFormat="false" ht="19.5" hidden="false" customHeight="true" outlineLevel="0" collapsed="false">
      <c r="A46" s="57" t="s">
        <v>145</v>
      </c>
      <c r="B46" s="54" t="n">
        <f aca="false">IF(Cuentas!C87&lt;&gt;0,((Cuentas!C82+Cuentas!C83+Cuentas!C84+Cuentas!C85+Cuentas!C86+Cuentas!C88)/(-1*Cuentas!C87)),"n.d.")</f>
        <v>1.77550009112065</v>
      </c>
    </row>
    <row r="47" customFormat="false" ht="15" hidden="false" customHeight="true" outlineLevel="0" collapsed="false">
      <c r="A47" s="52" t="s">
        <v>146</v>
      </c>
      <c r="B47" s="52"/>
    </row>
    <row r="48" customFormat="false" ht="19.5" hidden="false" customHeight="true" outlineLevel="0" collapsed="false">
      <c r="A48" s="56" t="s">
        <v>147</v>
      </c>
      <c r="B48" s="54" t="n">
        <f aca="false">IF(Cuentas!C81&lt;&gt;0,100*(Cuentas!C82-Cuentas!C81)/Cuentas!C81,"n.d.")</f>
        <v>69.5619204691729</v>
      </c>
    </row>
  </sheetData>
  <sheetProtection sheet="true" password="dcc4" objects="true" scenarios="true" selectLockedCells="true" selectUnlockedCells="true"/>
  <mergeCells count="10">
    <mergeCell ref="A6:A7"/>
    <mergeCell ref="A8:B8"/>
    <mergeCell ref="A15:B15"/>
    <mergeCell ref="A24:B24"/>
    <mergeCell ref="A26:B26"/>
    <mergeCell ref="A31:B31"/>
    <mergeCell ref="A34:B34"/>
    <mergeCell ref="A37:B37"/>
    <mergeCell ref="A42:B42"/>
    <mergeCell ref="A47:B47"/>
  </mergeCells>
  <conditionalFormatting sqref="A44:B46">
    <cfRule type="cellIs" priority="2" operator="equal" aboveAverage="0" equalAverage="0" bottom="0" percent="0" rank="0" text="" dxfId="2">
      <formula>"n.d."</formula>
    </cfRule>
  </conditionalFormatting>
  <conditionalFormatting sqref="A42:B43">
    <cfRule type="cellIs" priority="3" operator="equal" aboveAverage="0" equalAverage="0" bottom="0" percent="0" rank="0" text="" dxfId="3">
      <formula>"n.d."</formula>
    </cfRule>
  </conditionalFormatting>
  <conditionalFormatting sqref="A23:B23">
    <cfRule type="cellIs" priority="4" operator="equal" aboveAverage="0" equalAverage="0" bottom="0" percent="0" rank="0" text="" dxfId="4">
      <formula>"n.d."</formula>
    </cfRule>
  </conditionalFormatting>
  <conditionalFormatting sqref="A19:B19">
    <cfRule type="cellIs" priority="5" operator="equal" aboveAverage="0" equalAverage="0" bottom="0" percent="0" rank="0" text="" dxfId="5">
      <formula>"n.d."</formula>
    </cfRule>
  </conditionalFormatting>
  <conditionalFormatting sqref="A9:B18 A20:B41 A47:B48">
    <cfRule type="cellIs" priority="6" operator="equal" aboveAverage="0" equalAverage="0" bottom="0" percent="0" rank="0" text="" dxfId="6">
      <formula>"n.d."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6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0000"/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0.59765625" defaultRowHeight="15" zeroHeight="false" outlineLevelRow="0" outlineLevelCol="0"/>
  <sheetData>
    <row r="1" customFormat="false" ht="15" hidden="false" customHeight="false" outlineLevel="0" collapsed="false">
      <c r="A1" s="0" t="s">
        <v>148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2009-10-15T15:43:20Z</dcterms:created>
  <dc:creator>Iñaki Vazquez</dc:creator>
  <dc:description/>
  <dc:language>es-ES</dc:language>
  <cp:lastModifiedBy/>
  <cp:lastPrinted>2018-11-14T14:58:46Z</cp:lastPrinted>
  <dcterms:modified xsi:type="dcterms:W3CDTF">2025-11-08T12:59:26Z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